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6й семестр\Черненький\"/>
    </mc:Choice>
  </mc:AlternateContent>
  <xr:revisionPtr revIDLastSave="0" documentId="13_ncr:1_{A914354E-5628-4130-B431-21E30DF826A8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инструкция" sheetId="1" r:id="rId1"/>
    <sheet name="модель" sheetId="3" r:id="rId2"/>
    <sheet name="пример" sheetId="2" r:id="rId3"/>
  </sheets>
  <definedNames>
    <definedName name="_xlchart.v1.0" hidden="1">модель!$W$20:$W$59</definedName>
    <definedName name="closed">модель!$C$3</definedName>
    <definedName name="IAT">модель!$B$9:$D$12</definedName>
    <definedName name="renegat">модель!$E$3</definedName>
    <definedName name="RUNC">#REF!</definedName>
    <definedName name="ST">модель!$G$9:$I$11</definedName>
    <definedName name="start">модель!$A$3</definedName>
  </definedNames>
  <calcPr calcId="191029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9" i="3" l="1"/>
  <c r="R19" i="3"/>
  <c r="P19" i="3"/>
  <c r="F19" i="3"/>
  <c r="C9" i="3" l="1"/>
  <c r="B10" i="3" s="1"/>
  <c r="B53" i="3" l="1"/>
  <c r="C53" i="3" s="1"/>
  <c r="B39" i="3"/>
  <c r="C39" i="3" s="1"/>
  <c r="B55" i="3"/>
  <c r="C55" i="3" s="1"/>
  <c r="B34" i="3"/>
  <c r="C34" i="3" s="1"/>
  <c r="B22" i="3"/>
  <c r="C22" i="3" s="1"/>
  <c r="B30" i="3"/>
  <c r="C30" i="3" s="1"/>
  <c r="B38" i="3"/>
  <c r="C38" i="3" s="1"/>
  <c r="B46" i="3"/>
  <c r="C46" i="3" s="1"/>
  <c r="B50" i="3"/>
  <c r="C50" i="3" s="1"/>
  <c r="B36" i="3"/>
  <c r="C36" i="3" s="1"/>
  <c r="B20" i="3"/>
  <c r="C20" i="3" s="1"/>
  <c r="F20" i="3" s="1"/>
  <c r="B32" i="3"/>
  <c r="C32" i="3" s="1"/>
  <c r="B33" i="3"/>
  <c r="C33" i="3" s="1"/>
  <c r="B51" i="3"/>
  <c r="C51" i="3" s="1"/>
  <c r="C10" i="3"/>
  <c r="B11" i="3" s="1"/>
  <c r="C11" i="3" s="1"/>
  <c r="B12" i="3" s="1"/>
  <c r="C12" i="3" s="1"/>
  <c r="B42" i="3" l="1"/>
  <c r="C42" i="3" s="1"/>
  <c r="B25" i="3"/>
  <c r="C25" i="3" s="1"/>
  <c r="B47" i="3"/>
  <c r="C47" i="3" s="1"/>
  <c r="B41" i="3"/>
  <c r="C41" i="3" s="1"/>
  <c r="B52" i="3"/>
  <c r="C52" i="3" s="1"/>
  <c r="B26" i="3"/>
  <c r="C26" i="3" s="1"/>
  <c r="B21" i="3"/>
  <c r="C21" i="3" s="1"/>
  <c r="B28" i="3"/>
  <c r="C28" i="3" s="1"/>
  <c r="B43" i="3"/>
  <c r="C43" i="3" s="1"/>
  <c r="B56" i="3"/>
  <c r="C56" i="3" s="1"/>
  <c r="B59" i="3"/>
  <c r="C59" i="3" s="1"/>
  <c r="B31" i="3"/>
  <c r="C31" i="3" s="1"/>
  <c r="B35" i="3"/>
  <c r="C35" i="3" s="1"/>
  <c r="B37" i="3"/>
  <c r="C37" i="3" s="1"/>
  <c r="B44" i="3"/>
  <c r="C44" i="3" s="1"/>
  <c r="B27" i="3"/>
  <c r="C27" i="3" s="1"/>
  <c r="B58" i="3"/>
  <c r="C58" i="3" s="1"/>
  <c r="B57" i="3"/>
  <c r="C57" i="3" s="1"/>
  <c r="B48" i="3"/>
  <c r="C48" i="3" s="1"/>
  <c r="B40" i="3"/>
  <c r="C40" i="3" s="1"/>
  <c r="B45" i="3"/>
  <c r="C45" i="3" s="1"/>
  <c r="B24" i="3"/>
  <c r="C24" i="3" s="1"/>
  <c r="B23" i="3"/>
  <c r="C23" i="3" s="1"/>
  <c r="B54" i="3"/>
  <c r="C54" i="3" s="1"/>
  <c r="B29" i="3"/>
  <c r="C29" i="3" s="1"/>
  <c r="F21" i="3"/>
  <c r="Z20" i="3"/>
  <c r="L20" i="3"/>
  <c r="K20" i="3"/>
  <c r="A20" i="3"/>
  <c r="J20" i="3"/>
  <c r="B49" i="3"/>
  <c r="C49" i="3" s="1"/>
  <c r="H9" i="3"/>
  <c r="M20" i="3" l="1"/>
  <c r="G20" i="3" s="1"/>
  <c r="H20" i="3" s="1"/>
  <c r="U20" i="3" s="1"/>
  <c r="F22" i="3"/>
  <c r="Z21" i="3"/>
  <c r="A21" i="3"/>
  <c r="G10" i="3"/>
  <c r="A78" i="1"/>
  <c r="C22" i="1"/>
  <c r="B23" i="1" s="1"/>
  <c r="C23" i="1" s="1"/>
  <c r="B24" i="1" s="1"/>
  <c r="C24" i="1" s="1"/>
  <c r="C14" i="1"/>
  <c r="B15" i="1" s="1"/>
  <c r="C15" i="1" s="1"/>
  <c r="B16" i="1" s="1"/>
  <c r="C16" i="1" s="1"/>
  <c r="B17" i="1" s="1"/>
  <c r="C17" i="1" s="1"/>
  <c r="I20" i="3" l="1"/>
  <c r="N20" i="3"/>
  <c r="R20" i="3" s="1"/>
  <c r="K21" i="3" s="1"/>
  <c r="F23" i="3"/>
  <c r="Z22" i="3"/>
  <c r="A22" i="3"/>
  <c r="D50" i="3"/>
  <c r="E50" i="3" s="1"/>
  <c r="D51" i="3"/>
  <c r="E51" i="3" s="1"/>
  <c r="D59" i="3"/>
  <c r="E59" i="3" s="1"/>
  <c r="D49" i="3"/>
  <c r="E49" i="3" s="1"/>
  <c r="D28" i="3"/>
  <c r="E28" i="3" s="1"/>
  <c r="D52" i="3"/>
  <c r="E52" i="3" s="1"/>
  <c r="D42" i="3"/>
  <c r="E42" i="3" s="1"/>
  <c r="D21" i="3"/>
  <c r="E21" i="3" s="1"/>
  <c r="D29" i="3"/>
  <c r="E29" i="3" s="1"/>
  <c r="D22" i="3"/>
  <c r="E22" i="3" s="1"/>
  <c r="D30" i="3"/>
  <c r="E30" i="3" s="1"/>
  <c r="D44" i="3"/>
  <c r="E44" i="3" s="1"/>
  <c r="D31" i="3"/>
  <c r="E31" i="3" s="1"/>
  <c r="D55" i="3"/>
  <c r="E55" i="3" s="1"/>
  <c r="D45" i="3"/>
  <c r="E45" i="3" s="1"/>
  <c r="D24" i="3"/>
  <c r="E24" i="3" s="1"/>
  <c r="D56" i="3"/>
  <c r="E56" i="3" s="1"/>
  <c r="D38" i="3"/>
  <c r="E38" i="3" s="1"/>
  <c r="D46" i="3"/>
  <c r="E46" i="3" s="1"/>
  <c r="D33" i="3"/>
  <c r="E33" i="3" s="1"/>
  <c r="D57" i="3"/>
  <c r="E57" i="3" s="1"/>
  <c r="D39" i="3"/>
  <c r="E39" i="3" s="1"/>
  <c r="D26" i="3"/>
  <c r="E26" i="3" s="1"/>
  <c r="D58" i="3"/>
  <c r="E58" i="3" s="1"/>
  <c r="D40" i="3"/>
  <c r="E40" i="3" s="1"/>
  <c r="D27" i="3"/>
  <c r="E27" i="3" s="1"/>
  <c r="D53" i="3"/>
  <c r="E53" i="3" s="1"/>
  <c r="D54" i="3"/>
  <c r="E54" i="3" s="1"/>
  <c r="H10" i="3"/>
  <c r="G11" i="3" s="1"/>
  <c r="H11" i="3" s="1"/>
  <c r="D23" i="3" l="1"/>
  <c r="E23" i="3" s="1"/>
  <c r="Q20" i="3"/>
  <c r="O20" i="3"/>
  <c r="S20" i="3"/>
  <c r="T20" i="3"/>
  <c r="L21" i="3" s="1"/>
  <c r="D47" i="3"/>
  <c r="E47" i="3" s="1"/>
  <c r="D32" i="3"/>
  <c r="E32" i="3" s="1"/>
  <c r="D36" i="3"/>
  <c r="E36" i="3" s="1"/>
  <c r="D34" i="3"/>
  <c r="E34" i="3" s="1"/>
  <c r="D20" i="3"/>
  <c r="E20" i="3" s="1"/>
  <c r="D37" i="3"/>
  <c r="E37" i="3" s="1"/>
  <c r="D43" i="3"/>
  <c r="E43" i="3" s="1"/>
  <c r="D48" i="3"/>
  <c r="E48" i="3" s="1"/>
  <c r="D25" i="3"/>
  <c r="E25" i="3" s="1"/>
  <c r="D35" i="3"/>
  <c r="E35" i="3" s="1"/>
  <c r="D41" i="3"/>
  <c r="E41" i="3" s="1"/>
  <c r="F24" i="3"/>
  <c r="Z23" i="3"/>
  <c r="A23" i="3"/>
  <c r="P20" i="3" l="1"/>
  <c r="J21" i="3" s="1"/>
  <c r="M21" i="3" s="1"/>
  <c r="G21" i="3" s="1"/>
  <c r="H21" i="3" s="1"/>
  <c r="N21" i="3" s="1"/>
  <c r="Y20" i="3"/>
  <c r="W20" i="3" s="1"/>
  <c r="X20" i="3"/>
  <c r="V20" i="3"/>
  <c r="F25" i="3"/>
  <c r="Z24" i="3"/>
  <c r="A24" i="3"/>
  <c r="I21" i="3" l="1"/>
  <c r="U21" i="3"/>
  <c r="X21" i="3"/>
  <c r="V21" i="3"/>
  <c r="F26" i="3"/>
  <c r="Z25" i="3"/>
  <c r="A25" i="3"/>
  <c r="S21" i="3"/>
  <c r="T21" i="3"/>
  <c r="O21" i="3"/>
  <c r="P21" i="3" s="1"/>
  <c r="J22" i="3" s="1"/>
  <c r="Q21" i="3"/>
  <c r="R21" i="3" s="1"/>
  <c r="K22" i="3" s="1"/>
  <c r="F27" i="3" l="1"/>
  <c r="A26" i="3"/>
  <c r="Z26" i="3"/>
  <c r="Y21" i="3"/>
  <c r="W21" i="3" s="1"/>
  <c r="L22" i="3"/>
  <c r="M22" i="3" s="1"/>
  <c r="G22" i="3" s="1"/>
  <c r="H22" i="3" s="1"/>
  <c r="F28" i="3" l="1"/>
  <c r="Z27" i="3"/>
  <c r="A27" i="3"/>
  <c r="U22" i="3"/>
  <c r="I22" i="3"/>
  <c r="N22" i="3"/>
  <c r="V22" i="3"/>
  <c r="X22" i="3"/>
  <c r="F29" i="3" l="1"/>
  <c r="A28" i="3"/>
  <c r="Z28" i="3"/>
  <c r="S22" i="3"/>
  <c r="T22" i="3" s="1"/>
  <c r="O22" i="3"/>
  <c r="P22" i="3" s="1"/>
  <c r="J23" i="3" s="1"/>
  <c r="Q22" i="3"/>
  <c r="R22" i="3" s="1"/>
  <c r="F30" i="3" l="1"/>
  <c r="Z29" i="3"/>
  <c r="A29" i="3"/>
  <c r="Y22" i="3"/>
  <c r="W22" i="3" s="1"/>
  <c r="K23" i="3"/>
  <c r="L23" i="3"/>
  <c r="F31" i="3" l="1"/>
  <c r="Z30" i="3"/>
  <c r="A30" i="3"/>
  <c r="M23" i="3"/>
  <c r="G23" i="3" s="1"/>
  <c r="F32" i="3" l="1"/>
  <c r="Z31" i="3"/>
  <c r="A31" i="3"/>
  <c r="H23" i="3"/>
  <c r="F33" i="3" l="1"/>
  <c r="Z32" i="3"/>
  <c r="A32" i="3"/>
  <c r="I23" i="3"/>
  <c r="U23" i="3" s="1"/>
  <c r="N23" i="3"/>
  <c r="V23" i="3"/>
  <c r="F34" i="3" l="1"/>
  <c r="A33" i="3"/>
  <c r="Z33" i="3"/>
  <c r="S23" i="3"/>
  <c r="T23" i="3" s="1"/>
  <c r="L24" i="3" s="1"/>
  <c r="O23" i="3"/>
  <c r="P23" i="3" s="1"/>
  <c r="J24" i="3" s="1"/>
  <c r="Q23" i="3"/>
  <c r="R23" i="3" s="1"/>
  <c r="K24" i="3" s="1"/>
  <c r="F35" i="3" l="1"/>
  <c r="A34" i="3"/>
  <c r="Z34" i="3"/>
  <c r="Y23" i="3"/>
  <c r="W23" i="3" s="1"/>
  <c r="X23" i="3" s="1"/>
  <c r="M24" i="3"/>
  <c r="G24" i="3" s="1"/>
  <c r="H24" i="3" s="1"/>
  <c r="F36" i="3" l="1"/>
  <c r="A35" i="3"/>
  <c r="Z35" i="3"/>
  <c r="I24" i="3"/>
  <c r="U24" i="3" s="1"/>
  <c r="N24" i="3"/>
  <c r="V24" i="3"/>
  <c r="F37" i="3" l="1"/>
  <c r="Z36" i="3"/>
  <c r="A36" i="3"/>
  <c r="S24" i="3"/>
  <c r="T24" i="3" s="1"/>
  <c r="L25" i="3" s="1"/>
  <c r="Q24" i="3"/>
  <c r="R24" i="3" s="1"/>
  <c r="K25" i="3" s="1"/>
  <c r="O24" i="3"/>
  <c r="P24" i="3" s="1"/>
  <c r="J25" i="3" s="1"/>
  <c r="F38" i="3" l="1"/>
  <c r="A37" i="3"/>
  <c r="Z37" i="3"/>
  <c r="M25" i="3"/>
  <c r="G25" i="3" s="1"/>
  <c r="H25" i="3" s="1"/>
  <c r="Y24" i="3"/>
  <c r="W24" i="3" s="1"/>
  <c r="X24" i="3" s="1"/>
  <c r="F39" i="3" l="1"/>
  <c r="A38" i="3"/>
  <c r="Z38" i="3"/>
  <c r="I25" i="3"/>
  <c r="U25" i="3" s="1"/>
  <c r="N25" i="3"/>
  <c r="O25" i="3" s="1"/>
  <c r="P25" i="3" s="1"/>
  <c r="J26" i="3" s="1"/>
  <c r="V25" i="3"/>
  <c r="F40" i="3" l="1"/>
  <c r="Z39" i="3"/>
  <c r="A39" i="3"/>
  <c r="Q25" i="3"/>
  <c r="R25" i="3" s="1"/>
  <c r="K26" i="3" s="1"/>
  <c r="S25" i="3"/>
  <c r="T25" i="3" s="1"/>
  <c r="L26" i="3" s="1"/>
  <c r="Y25" i="3" l="1"/>
  <c r="W25" i="3" s="1"/>
  <c r="X25" i="3" s="1"/>
  <c r="F41" i="3"/>
  <c r="A40" i="3"/>
  <c r="Z40" i="3"/>
  <c r="M26" i="3"/>
  <c r="G26" i="3" s="1"/>
  <c r="H26" i="3" s="1"/>
  <c r="F42" i="3" l="1"/>
  <c r="A41" i="3"/>
  <c r="Z41" i="3"/>
  <c r="I26" i="3"/>
  <c r="U26" i="3" s="1"/>
  <c r="N26" i="3"/>
  <c r="Q26" i="3" s="1"/>
  <c r="R26" i="3" s="1"/>
  <c r="K27" i="3" s="1"/>
  <c r="V26" i="3"/>
  <c r="F43" i="3" l="1"/>
  <c r="Z42" i="3"/>
  <c r="A42" i="3"/>
  <c r="O26" i="3"/>
  <c r="P26" i="3" s="1"/>
  <c r="J27" i="3" s="1"/>
  <c r="S26" i="3"/>
  <c r="T26" i="3" s="1"/>
  <c r="L27" i="3" s="1"/>
  <c r="F44" i="3" l="1"/>
  <c r="A43" i="3"/>
  <c r="Z43" i="3"/>
  <c r="M27" i="3"/>
  <c r="G27" i="3" s="1"/>
  <c r="H27" i="3" s="1"/>
  <c r="Y26" i="3"/>
  <c r="W26" i="3" s="1"/>
  <c r="X26" i="3" s="1"/>
  <c r="F45" i="3" l="1"/>
  <c r="Z44" i="3"/>
  <c r="A44" i="3"/>
  <c r="I27" i="3"/>
  <c r="U27" i="3" s="1"/>
  <c r="N27" i="3"/>
  <c r="Q27" i="3" s="1"/>
  <c r="R27" i="3" s="1"/>
  <c r="K28" i="3" s="1"/>
  <c r="V27" i="3"/>
  <c r="F46" i="3" l="1"/>
  <c r="Z45" i="3"/>
  <c r="A45" i="3"/>
  <c r="S27" i="3"/>
  <c r="T27" i="3" s="1"/>
  <c r="L28" i="3" s="1"/>
  <c r="O27" i="3"/>
  <c r="P27" i="3" s="1"/>
  <c r="J28" i="3" s="1"/>
  <c r="F47" i="3" l="1"/>
  <c r="A46" i="3"/>
  <c r="Z46" i="3"/>
  <c r="M28" i="3"/>
  <c r="G28" i="3" s="1"/>
  <c r="H28" i="3" s="1"/>
  <c r="Y27" i="3"/>
  <c r="W27" i="3" s="1"/>
  <c r="X27" i="3" s="1"/>
  <c r="A47" i="3" l="1"/>
  <c r="F48" i="3"/>
  <c r="Z47" i="3"/>
  <c r="I28" i="3"/>
  <c r="U28" i="3" s="1"/>
  <c r="N28" i="3"/>
  <c r="S28" i="3" s="1"/>
  <c r="T28" i="3" s="1"/>
  <c r="L29" i="3" s="1"/>
  <c r="V28" i="3"/>
  <c r="F49" i="3" l="1"/>
  <c r="Z48" i="3"/>
  <c r="A48" i="3"/>
  <c r="O28" i="3"/>
  <c r="P28" i="3" s="1"/>
  <c r="J29" i="3" s="1"/>
  <c r="Q28" i="3"/>
  <c r="R28" i="3" s="1"/>
  <c r="Y28" i="3" s="1"/>
  <c r="F50" i="3" l="1"/>
  <c r="A49" i="3"/>
  <c r="Z49" i="3"/>
  <c r="K29" i="3"/>
  <c r="M29" i="3" s="1"/>
  <c r="G29" i="3" s="1"/>
  <c r="H29" i="3" s="1"/>
  <c r="W28" i="3"/>
  <c r="X28" i="3" s="1"/>
  <c r="F51" i="3" l="1"/>
  <c r="Z50" i="3"/>
  <c r="A50" i="3"/>
  <c r="I29" i="3"/>
  <c r="U29" i="3" s="1"/>
  <c r="N29" i="3"/>
  <c r="S29" i="3" s="1"/>
  <c r="T29" i="3" s="1"/>
  <c r="L30" i="3" s="1"/>
  <c r="V29" i="3"/>
  <c r="F52" i="3" l="1"/>
  <c r="Z51" i="3"/>
  <c r="A51" i="3"/>
  <c r="Q29" i="3"/>
  <c r="R29" i="3" s="1"/>
  <c r="K30" i="3" s="1"/>
  <c r="O29" i="3"/>
  <c r="P29" i="3" s="1"/>
  <c r="J30" i="3" s="1"/>
  <c r="F53" i="3" l="1"/>
  <c r="A52" i="3"/>
  <c r="Z52" i="3"/>
  <c r="M30" i="3"/>
  <c r="G30" i="3" s="1"/>
  <c r="H30" i="3" s="1"/>
  <c r="V30" i="3" s="1"/>
  <c r="Y29" i="3"/>
  <c r="W29" i="3" s="1"/>
  <c r="X29" i="3" s="1"/>
  <c r="F54" i="3" l="1"/>
  <c r="Z53" i="3"/>
  <c r="A53" i="3"/>
  <c r="N30" i="3"/>
  <c r="Q30" i="3" s="1"/>
  <c r="R30" i="3" s="1"/>
  <c r="K31" i="3" s="1"/>
  <c r="I30" i="3"/>
  <c r="U30" i="3" s="1"/>
  <c r="F55" i="3" l="1"/>
  <c r="Z54" i="3"/>
  <c r="A54" i="3"/>
  <c r="S30" i="3"/>
  <c r="T30" i="3" s="1"/>
  <c r="L31" i="3" s="1"/>
  <c r="O30" i="3"/>
  <c r="P30" i="3" s="1"/>
  <c r="J31" i="3" s="1"/>
  <c r="Y30" i="3"/>
  <c r="W30" i="3" s="1"/>
  <c r="X30" i="3" s="1"/>
  <c r="F56" i="3" l="1"/>
  <c r="A55" i="3"/>
  <c r="Z55" i="3"/>
  <c r="M31" i="3"/>
  <c r="G31" i="3" s="1"/>
  <c r="H31" i="3" s="1"/>
  <c r="N31" i="3" s="1"/>
  <c r="S31" i="3" s="1"/>
  <c r="T31" i="3" s="1"/>
  <c r="F57" i="3" l="1"/>
  <c r="A56" i="3"/>
  <c r="Z56" i="3"/>
  <c r="I31" i="3"/>
  <c r="U31" i="3" s="1"/>
  <c r="V31" i="3"/>
  <c r="O31" i="3"/>
  <c r="P31" i="3" s="1"/>
  <c r="J32" i="3" s="1"/>
  <c r="Q31" i="3"/>
  <c r="R31" i="3" s="1"/>
  <c r="K32" i="3" s="1"/>
  <c r="L32" i="3"/>
  <c r="F58" i="3" l="1"/>
  <c r="Z57" i="3"/>
  <c r="A57" i="3"/>
  <c r="Y31" i="3"/>
  <c r="W31" i="3" s="1"/>
  <c r="X31" i="3" s="1"/>
  <c r="M32" i="3"/>
  <c r="G32" i="3" s="1"/>
  <c r="F59" i="3" l="1"/>
  <c r="A58" i="3"/>
  <c r="Z58" i="3"/>
  <c r="H32" i="3"/>
  <c r="Z59" i="3" l="1"/>
  <c r="Z61" i="3" s="1"/>
  <c r="A59" i="3"/>
  <c r="I32" i="3"/>
  <c r="U32" i="3" s="1"/>
  <c r="N32" i="3"/>
  <c r="S32" i="3" s="1"/>
  <c r="T32" i="3" s="1"/>
  <c r="L33" i="3" s="1"/>
  <c r="V32" i="3"/>
  <c r="Q32" i="3" l="1"/>
  <c r="R32" i="3" s="1"/>
  <c r="K33" i="3" s="1"/>
  <c r="O32" i="3"/>
  <c r="P32" i="3" s="1"/>
  <c r="J33" i="3" s="1"/>
  <c r="Y32" i="3" l="1"/>
  <c r="W32" i="3" s="1"/>
  <c r="X32" i="3" s="1"/>
  <c r="M33" i="3"/>
  <c r="G33" i="3" s="1"/>
  <c r="H33" i="3" s="1"/>
  <c r="I33" i="3" l="1"/>
  <c r="U33" i="3" s="1"/>
  <c r="N33" i="3"/>
  <c r="S33" i="3" s="1"/>
  <c r="T33" i="3" s="1"/>
  <c r="L34" i="3" s="1"/>
  <c r="V33" i="3"/>
  <c r="Q33" i="3" l="1"/>
  <c r="R33" i="3" s="1"/>
  <c r="K34" i="3" s="1"/>
  <c r="O33" i="3"/>
  <c r="P33" i="3" s="1"/>
  <c r="J34" i="3" s="1"/>
  <c r="M34" i="3" l="1"/>
  <c r="G34" i="3" s="1"/>
  <c r="H34" i="3" s="1"/>
  <c r="Y33" i="3"/>
  <c r="W33" i="3" s="1"/>
  <c r="X33" i="3" s="1"/>
  <c r="V34" i="3" l="1"/>
  <c r="N34" i="3"/>
  <c r="O34" i="3" s="1"/>
  <c r="P34" i="3" s="1"/>
  <c r="I34" i="3"/>
  <c r="U34" i="3" s="1"/>
  <c r="Q34" i="3" l="1"/>
  <c r="R34" i="3" s="1"/>
  <c r="K35" i="3" s="1"/>
  <c r="S34" i="3"/>
  <c r="T34" i="3" s="1"/>
  <c r="L35" i="3" s="1"/>
  <c r="J35" i="3"/>
  <c r="Y34" i="3" l="1"/>
  <c r="W34" i="3" s="1"/>
  <c r="X34" i="3" s="1"/>
  <c r="M35" i="3"/>
  <c r="G35" i="3" s="1"/>
  <c r="H35" i="3" s="1"/>
  <c r="I35" i="3" l="1"/>
  <c r="U35" i="3" s="1"/>
  <c r="N35" i="3"/>
  <c r="V35" i="3"/>
  <c r="Q35" i="3" l="1"/>
  <c r="R35" i="3" s="1"/>
  <c r="K36" i="3" s="1"/>
  <c r="O35" i="3"/>
  <c r="P35" i="3" s="1"/>
  <c r="J36" i="3" s="1"/>
  <c r="S35" i="3"/>
  <c r="T35" i="3" s="1"/>
  <c r="L36" i="3" s="1"/>
  <c r="Y35" i="3" l="1"/>
  <c r="W35" i="3" s="1"/>
  <c r="X35" i="3" s="1"/>
  <c r="M36" i="3"/>
  <c r="G36" i="3" s="1"/>
  <c r="H36" i="3" s="1"/>
  <c r="I36" i="3" l="1"/>
  <c r="U36" i="3" s="1"/>
  <c r="N36" i="3"/>
  <c r="S36" i="3" s="1"/>
  <c r="V36" i="3"/>
  <c r="Q36" i="3" l="1"/>
  <c r="R36" i="3" s="1"/>
  <c r="K37" i="3" s="1"/>
  <c r="T36" i="3"/>
  <c r="L37" i="3" s="1"/>
  <c r="O36" i="3"/>
  <c r="P36" i="3" s="1"/>
  <c r="J37" i="3" s="1"/>
  <c r="Y36" i="3" l="1"/>
  <c r="W36" i="3" s="1"/>
  <c r="X36" i="3" s="1"/>
  <c r="M37" i="3"/>
  <c r="G37" i="3" s="1"/>
  <c r="H37" i="3" s="1"/>
  <c r="I37" i="3" l="1"/>
  <c r="U37" i="3" s="1"/>
  <c r="N37" i="3"/>
  <c r="O37" i="3" s="1"/>
  <c r="P37" i="3" s="1"/>
  <c r="J38" i="3" s="1"/>
  <c r="V37" i="3"/>
  <c r="Q37" i="3" l="1"/>
  <c r="R37" i="3" s="1"/>
  <c r="K38" i="3" s="1"/>
  <c r="S37" i="3"/>
  <c r="T37" i="3" s="1"/>
  <c r="L38" i="3" s="1"/>
  <c r="Y37" i="3" l="1"/>
  <c r="W37" i="3" s="1"/>
  <c r="X37" i="3" s="1"/>
  <c r="M38" i="3"/>
  <c r="G38" i="3" s="1"/>
  <c r="H38" i="3" s="1"/>
  <c r="I38" i="3" l="1"/>
  <c r="U38" i="3" s="1"/>
  <c r="N38" i="3"/>
  <c r="Q38" i="3" s="1"/>
  <c r="R38" i="3" s="1"/>
  <c r="K39" i="3" s="1"/>
  <c r="V38" i="3"/>
  <c r="S38" i="3" l="1"/>
  <c r="T38" i="3" s="1"/>
  <c r="L39" i="3" s="1"/>
  <c r="O38" i="3"/>
  <c r="P38" i="3" s="1"/>
  <c r="J39" i="3" s="1"/>
  <c r="Y38" i="3" l="1"/>
  <c r="W38" i="3" s="1"/>
  <c r="X38" i="3" s="1"/>
  <c r="M39" i="3"/>
  <c r="G39" i="3" s="1"/>
  <c r="H39" i="3" l="1"/>
  <c r="I39" i="3" l="1"/>
  <c r="U39" i="3" s="1"/>
  <c r="N39" i="3"/>
  <c r="V39" i="3"/>
  <c r="S39" i="3" l="1"/>
  <c r="T39" i="3" s="1"/>
  <c r="L40" i="3" s="1"/>
  <c r="O39" i="3"/>
  <c r="P39" i="3" s="1"/>
  <c r="J40" i="3" s="1"/>
  <c r="Q39" i="3"/>
  <c r="R39" i="3" s="1"/>
  <c r="K40" i="3" s="1"/>
  <c r="M40" i="3" l="1"/>
  <c r="G40" i="3" s="1"/>
  <c r="H40" i="3" s="1"/>
  <c r="Y39" i="3"/>
  <c r="W39" i="3" s="1"/>
  <c r="X39" i="3" s="1"/>
  <c r="I40" i="3" l="1"/>
  <c r="U40" i="3" s="1"/>
  <c r="N40" i="3"/>
  <c r="S40" i="3" s="1"/>
  <c r="V40" i="3"/>
  <c r="O40" i="3" l="1"/>
  <c r="P40" i="3" s="1"/>
  <c r="J41" i="3" s="1"/>
  <c r="T40" i="3"/>
  <c r="L41" i="3" s="1"/>
  <c r="Q40" i="3"/>
  <c r="R40" i="3" s="1"/>
  <c r="K41" i="3" s="1"/>
  <c r="Y40" i="3" l="1"/>
  <c r="W40" i="3" s="1"/>
  <c r="X40" i="3" s="1"/>
  <c r="M41" i="3"/>
  <c r="G41" i="3" s="1"/>
  <c r="H41" i="3" s="1"/>
  <c r="I41" i="3" l="1"/>
  <c r="U41" i="3" s="1"/>
  <c r="N41" i="3"/>
  <c r="V41" i="3"/>
  <c r="Q41" i="3" l="1"/>
  <c r="R41" i="3" s="1"/>
  <c r="K42" i="3" s="1"/>
  <c r="O41" i="3"/>
  <c r="P41" i="3" s="1"/>
  <c r="J42" i="3" s="1"/>
  <c r="S41" i="3"/>
  <c r="T41" i="3" s="1"/>
  <c r="L42" i="3" s="1"/>
  <c r="Y41" i="3" l="1"/>
  <c r="W41" i="3" s="1"/>
  <c r="X41" i="3" s="1"/>
  <c r="M42" i="3"/>
  <c r="G42" i="3" s="1"/>
  <c r="H42" i="3" s="1"/>
  <c r="I42" i="3" l="1"/>
  <c r="U42" i="3" s="1"/>
  <c r="N42" i="3"/>
  <c r="V42" i="3"/>
  <c r="S42" i="3" l="1"/>
  <c r="T42" i="3" s="1"/>
  <c r="L43" i="3" s="1"/>
  <c r="O42" i="3"/>
  <c r="P42" i="3" s="1"/>
  <c r="J43" i="3" s="1"/>
  <c r="Q42" i="3"/>
  <c r="R42" i="3" s="1"/>
  <c r="K43" i="3" s="1"/>
  <c r="Y42" i="3" l="1"/>
  <c r="W42" i="3" s="1"/>
  <c r="X42" i="3" s="1"/>
  <c r="M43" i="3"/>
  <c r="G43" i="3" s="1"/>
  <c r="H43" i="3" s="1"/>
  <c r="I43" i="3" l="1"/>
  <c r="U43" i="3" s="1"/>
  <c r="N43" i="3"/>
  <c r="V43" i="3"/>
  <c r="O43" i="3" l="1"/>
  <c r="P43" i="3" s="1"/>
  <c r="J44" i="3" s="1"/>
  <c r="Q43" i="3"/>
  <c r="R43" i="3" s="1"/>
  <c r="S43" i="3"/>
  <c r="T43" i="3" s="1"/>
  <c r="L44" i="3" s="1"/>
  <c r="Y43" i="3" l="1"/>
  <c r="W43" i="3" s="1"/>
  <c r="X43" i="3" s="1"/>
  <c r="K44" i="3"/>
  <c r="M44" i="3" s="1"/>
  <c r="G44" i="3" s="1"/>
  <c r="H44" i="3" s="1"/>
  <c r="I44" i="3" l="1"/>
  <c r="U44" i="3" s="1"/>
  <c r="N44" i="3"/>
  <c r="S44" i="3" s="1"/>
  <c r="V44" i="3"/>
  <c r="O44" i="3" l="1"/>
  <c r="P44" i="3" s="1"/>
  <c r="J45" i="3" s="1"/>
  <c r="T44" i="3"/>
  <c r="Q44" i="3"/>
  <c r="R44" i="3" s="1"/>
  <c r="K45" i="3" s="1"/>
  <c r="Y44" i="3" l="1"/>
  <c r="W44" i="3" s="1"/>
  <c r="X44" i="3" s="1"/>
  <c r="L45" i="3"/>
  <c r="M45" i="3" s="1"/>
  <c r="G45" i="3" s="1"/>
  <c r="H45" i="3" s="1"/>
  <c r="N45" i="3" l="1"/>
  <c r="I45" i="3"/>
  <c r="U45" i="3" s="1"/>
  <c r="V45" i="3"/>
  <c r="S45" i="3" l="1"/>
  <c r="T45" i="3" s="1"/>
  <c r="L46" i="3" s="1"/>
  <c r="Q45" i="3"/>
  <c r="R45" i="3" s="1"/>
  <c r="K46" i="3" s="1"/>
  <c r="O45" i="3"/>
  <c r="P45" i="3" s="1"/>
  <c r="Y45" i="3" l="1"/>
  <c r="W45" i="3" s="1"/>
  <c r="X45" i="3" s="1"/>
  <c r="J46" i="3"/>
  <c r="M46" i="3" s="1"/>
  <c r="G46" i="3" s="1"/>
  <c r="H46" i="3" s="1"/>
  <c r="I46" i="3" l="1"/>
  <c r="U46" i="3" s="1"/>
  <c r="N46" i="3"/>
  <c r="V46" i="3"/>
  <c r="Q46" i="3" l="1"/>
  <c r="R46" i="3" s="1"/>
  <c r="O46" i="3"/>
  <c r="P46" i="3" s="1"/>
  <c r="J47" i="3" s="1"/>
  <c r="S46" i="3"/>
  <c r="T46" i="3" s="1"/>
  <c r="L47" i="3" s="1"/>
  <c r="Y46" i="3" l="1"/>
  <c r="W46" i="3" s="1"/>
  <c r="X46" i="3" s="1"/>
  <c r="K47" i="3"/>
  <c r="M47" i="3" s="1"/>
  <c r="G47" i="3" s="1"/>
  <c r="H47" i="3" s="1"/>
  <c r="N47" i="3" l="1"/>
  <c r="I47" i="3"/>
  <c r="U47" i="3" s="1"/>
  <c r="V47" i="3"/>
  <c r="S47" i="3" l="1"/>
  <c r="T47" i="3" s="1"/>
  <c r="Q47" i="3"/>
  <c r="R47" i="3" s="1"/>
  <c r="K48" i="3" s="1"/>
  <c r="O47" i="3"/>
  <c r="P47" i="3" s="1"/>
  <c r="J48" i="3" s="1"/>
  <c r="Y47" i="3" l="1"/>
  <c r="W47" i="3" s="1"/>
  <c r="X47" i="3" s="1"/>
  <c r="L48" i="3"/>
  <c r="M48" i="3" s="1"/>
  <c r="G48" i="3" s="1"/>
  <c r="H48" i="3" s="1"/>
  <c r="I48" i="3" l="1"/>
  <c r="U48" i="3" s="1"/>
  <c r="N48" i="3"/>
  <c r="Q48" i="3" s="1"/>
  <c r="R48" i="3" s="1"/>
  <c r="K49" i="3" s="1"/>
  <c r="V48" i="3"/>
  <c r="O48" i="3" l="1"/>
  <c r="P48" i="3" s="1"/>
  <c r="J49" i="3" s="1"/>
  <c r="S48" i="3"/>
  <c r="T48" i="3" s="1"/>
  <c r="L49" i="3" s="1"/>
  <c r="Y48" i="3" l="1"/>
  <c r="W48" i="3" s="1"/>
  <c r="X48" i="3" s="1"/>
  <c r="M49" i="3"/>
  <c r="G49" i="3" s="1"/>
  <c r="H49" i="3" s="1"/>
  <c r="N49" i="3" l="1"/>
  <c r="S49" i="3" s="1"/>
  <c r="T49" i="3" s="1"/>
  <c r="L50" i="3" s="1"/>
  <c r="I49" i="3"/>
  <c r="U49" i="3" s="1"/>
  <c r="V49" i="3"/>
  <c r="Q49" i="3" l="1"/>
  <c r="R49" i="3" s="1"/>
  <c r="K50" i="3" s="1"/>
  <c r="O49" i="3"/>
  <c r="P49" i="3" s="1"/>
  <c r="J50" i="3" s="1"/>
  <c r="Y49" i="3" l="1"/>
  <c r="W49" i="3" s="1"/>
  <c r="X49" i="3" s="1"/>
  <c r="M50" i="3"/>
  <c r="G50" i="3" s="1"/>
  <c r="H50" i="3" s="1"/>
  <c r="N50" i="3" s="1"/>
  <c r="V50" i="3" l="1"/>
  <c r="I50" i="3"/>
  <c r="U50" i="3" s="1"/>
  <c r="O50" i="3"/>
  <c r="P50" i="3" s="1"/>
  <c r="J51" i="3" s="1"/>
  <c r="S50" i="3"/>
  <c r="T50" i="3" s="1"/>
  <c r="L51" i="3" s="1"/>
  <c r="Q50" i="3"/>
  <c r="R50" i="3" s="1"/>
  <c r="K51" i="3" s="1"/>
  <c r="Y50" i="3" l="1"/>
  <c r="W50" i="3" s="1"/>
  <c r="X50" i="3" s="1"/>
  <c r="M51" i="3"/>
  <c r="G51" i="3" s="1"/>
  <c r="H51" i="3" s="1"/>
  <c r="I51" i="3" l="1"/>
  <c r="U51" i="3" s="1"/>
  <c r="N51" i="3"/>
  <c r="V51" i="3"/>
  <c r="S51" i="3" l="1"/>
  <c r="T51" i="3" s="1"/>
  <c r="L52" i="3" s="1"/>
  <c r="O51" i="3"/>
  <c r="P51" i="3" s="1"/>
  <c r="J52" i="3" s="1"/>
  <c r="Q51" i="3"/>
  <c r="R51" i="3" s="1"/>
  <c r="K52" i="3" s="1"/>
  <c r="Y51" i="3" l="1"/>
  <c r="W51" i="3" s="1"/>
  <c r="X51" i="3" s="1"/>
  <c r="M52" i="3"/>
  <c r="G52" i="3" s="1"/>
  <c r="H52" i="3" s="1"/>
  <c r="I52" i="3" l="1"/>
  <c r="U52" i="3" s="1"/>
  <c r="N52" i="3"/>
  <c r="V52" i="3"/>
  <c r="S52" i="3" l="1"/>
  <c r="T52" i="3" s="1"/>
  <c r="L53" i="3" s="1"/>
  <c r="Q52" i="3"/>
  <c r="R52" i="3" s="1"/>
  <c r="K53" i="3" s="1"/>
  <c r="O52" i="3"/>
  <c r="P52" i="3" s="1"/>
  <c r="J53" i="3" s="1"/>
  <c r="M53" i="3" l="1"/>
  <c r="G53" i="3" s="1"/>
  <c r="H53" i="3" s="1"/>
  <c r="I53" i="3" s="1"/>
  <c r="Y52" i="3"/>
  <c r="W52" i="3" s="1"/>
  <c r="X52" i="3" s="1"/>
  <c r="N53" i="3" l="1"/>
  <c r="S53" i="3" s="1"/>
  <c r="T53" i="3" s="1"/>
  <c r="L54" i="3" s="1"/>
  <c r="V53" i="3"/>
  <c r="U53" i="3"/>
  <c r="O53" i="3" l="1"/>
  <c r="P53" i="3" s="1"/>
  <c r="J54" i="3" s="1"/>
  <c r="Q53" i="3"/>
  <c r="R53" i="3" s="1"/>
  <c r="K54" i="3" s="1"/>
  <c r="Y53" i="3" l="1"/>
  <c r="W53" i="3" s="1"/>
  <c r="X53" i="3" s="1"/>
  <c r="M54" i="3"/>
  <c r="G54" i="3" s="1"/>
  <c r="H54" i="3" s="1"/>
  <c r="I54" i="3" s="1"/>
  <c r="U54" i="3" s="1"/>
  <c r="V54" i="3" l="1"/>
  <c r="N54" i="3"/>
  <c r="S54" i="3" s="1"/>
  <c r="T54" i="3" l="1"/>
  <c r="O54" i="3"/>
  <c r="P54" i="3" s="1"/>
  <c r="J55" i="3" s="1"/>
  <c r="Q54" i="3"/>
  <c r="R54" i="3" s="1"/>
  <c r="K55" i="3" s="1"/>
  <c r="Y54" i="3" l="1"/>
  <c r="W54" i="3" s="1"/>
  <c r="X54" i="3" s="1"/>
  <c r="L55" i="3"/>
  <c r="M55" i="3" s="1"/>
  <c r="G55" i="3" s="1"/>
  <c r="H55" i="3" s="1"/>
  <c r="I55" i="3" l="1"/>
  <c r="U55" i="3" s="1"/>
  <c r="N55" i="3"/>
  <c r="O55" i="3" s="1"/>
  <c r="V55" i="3"/>
  <c r="Q55" i="3" l="1"/>
  <c r="P55" i="3"/>
  <c r="J56" i="3" s="1"/>
  <c r="R55" i="3"/>
  <c r="S55" i="3"/>
  <c r="T55" i="3" s="1"/>
  <c r="K56" i="3"/>
  <c r="Y55" i="3" l="1"/>
  <c r="W55" i="3" s="1"/>
  <c r="X55" i="3" s="1"/>
  <c r="L56" i="3"/>
  <c r="M56" i="3" s="1"/>
  <c r="G56" i="3" s="1"/>
  <c r="H56" i="3" s="1"/>
  <c r="I56" i="3" l="1"/>
  <c r="U56" i="3" s="1"/>
  <c r="N56" i="3"/>
  <c r="V56" i="3"/>
  <c r="O56" i="3" l="1"/>
  <c r="S56" i="3"/>
  <c r="Q56" i="3"/>
  <c r="T56" i="3"/>
  <c r="P56" i="3"/>
  <c r="R56" i="3"/>
  <c r="Y56" i="3" l="1"/>
  <c r="W56" i="3" s="1"/>
  <c r="X56" i="3" s="1"/>
  <c r="K57" i="3"/>
  <c r="J57" i="3"/>
  <c r="L57" i="3"/>
  <c r="M57" i="3" l="1"/>
  <c r="G57" i="3" s="1"/>
  <c r="H57" i="3" s="1"/>
  <c r="I57" i="3" l="1"/>
  <c r="U57" i="3" s="1"/>
  <c r="N57" i="3"/>
  <c r="V57" i="3"/>
  <c r="S57" i="3" l="1"/>
  <c r="T57" i="3" s="1"/>
  <c r="Q57" i="3"/>
  <c r="O57" i="3"/>
  <c r="P57" i="3" s="1"/>
  <c r="R57" i="3"/>
  <c r="Y57" i="3" l="1"/>
  <c r="W57" i="3" s="1"/>
  <c r="X57" i="3" s="1"/>
  <c r="J58" i="3"/>
  <c r="L58" i="3"/>
  <c r="K58" i="3"/>
  <c r="M58" i="3" l="1"/>
  <c r="G58" i="3" s="1"/>
  <c r="H58" i="3" s="1"/>
  <c r="I58" i="3" l="1"/>
  <c r="U58" i="3" s="1"/>
  <c r="N58" i="3"/>
  <c r="V58" i="3"/>
  <c r="Q58" i="3" l="1"/>
  <c r="R58" i="3" s="1"/>
  <c r="O58" i="3"/>
  <c r="P58" i="3" s="1"/>
  <c r="S58" i="3"/>
  <c r="T58" i="3" s="1"/>
  <c r="Y58" i="3" l="1"/>
  <c r="W58" i="3" s="1"/>
  <c r="X58" i="3" s="1"/>
  <c r="K59" i="3"/>
  <c r="L59" i="3"/>
  <c r="J59" i="3"/>
  <c r="M59" i="3" l="1"/>
  <c r="G59" i="3" s="1"/>
  <c r="H59" i="3" s="1"/>
  <c r="H61" i="3" s="1"/>
  <c r="X59" i="3" l="1"/>
  <c r="V59" i="3"/>
  <c r="I59" i="3"/>
  <c r="N59" i="3"/>
  <c r="X62" i="3" s="1"/>
  <c r="U59" i="3"/>
  <c r="S61" i="3"/>
  <c r="T61" i="3" s="1"/>
  <c r="N62" i="3" l="1"/>
  <c r="N63" i="3"/>
  <c r="N61" i="3"/>
  <c r="S63" i="3" s="1"/>
  <c r="T63" i="3" s="1"/>
  <c r="S62" i="3"/>
  <c r="T62" i="3" s="1"/>
  <c r="Q59" i="3"/>
  <c r="R59" i="3" s="1"/>
  <c r="S59" i="3"/>
  <c r="T59" i="3" s="1"/>
  <c r="O59" i="3"/>
  <c r="P59" i="3" s="1"/>
  <c r="Y59" i="3" l="1"/>
  <c r="W59" i="3" s="1"/>
  <c r="X61" i="3" s="1"/>
  <c r="H62" i="3"/>
</calcChain>
</file>

<file path=xl/sharedStrings.xml><?xml version="1.0" encoding="utf-8"?>
<sst xmlns="http://schemas.openxmlformats.org/spreadsheetml/2006/main" count="304" uniqueCount="246">
  <si>
    <t>1.</t>
  </si>
  <si>
    <t>Ввести заголовок в ячейку В1</t>
  </si>
  <si>
    <t xml:space="preserve">Табличная модель системы массового обслуживания с 3 серверами и ограничением времени ожидания </t>
  </si>
  <si>
    <t>2.</t>
  </si>
  <si>
    <t>Ввести табличку начальных данных в ячейки А2..F3</t>
  </si>
  <si>
    <t>Начало</t>
  </si>
  <si>
    <t>Конец</t>
  </si>
  <si>
    <t>Уйти если ожидание больше</t>
  </si>
  <si>
    <t>мин</t>
  </si>
  <si>
    <t>start</t>
  </si>
  <si>
    <t>closed</t>
  </si>
  <si>
    <t>renegat</t>
  </si>
  <si>
    <t>используемые аббревиатуры:</t>
  </si>
  <si>
    <t>ST</t>
  </si>
  <si>
    <t>время обслуживания</t>
  </si>
  <si>
    <t>IAT</t>
  </si>
  <si>
    <t>время между прибытиями</t>
  </si>
  <si>
    <t>3.</t>
  </si>
  <si>
    <t>Ввести табличку значений в ячейки  A6…D12. Задать диапазону B9:D12 имя IAT.</t>
  </si>
  <si>
    <t>вероят ность</t>
  </si>
  <si>
    <t>нижняя</t>
  </si>
  <si>
    <t>верхняя</t>
  </si>
  <si>
    <t>интервал</t>
  </si>
  <si>
    <t>граница</t>
  </si>
  <si>
    <t>прихода</t>
  </si>
  <si>
    <t>(мин)</t>
  </si>
  <si>
    <t>4.</t>
  </si>
  <si>
    <t>Ввести табличку значений в ячейки  F6…I11. Задать диапазону G9:I11 имя ST.</t>
  </si>
  <si>
    <t>сервиса</t>
  </si>
  <si>
    <t>5.</t>
  </si>
  <si>
    <t>Ввести заголовок таблицы с ячейки А14</t>
  </si>
  <si>
    <t>время</t>
  </si>
  <si>
    <t>время обс-</t>
  </si>
  <si>
    <t>момент</t>
  </si>
  <si>
    <t>прогноз</t>
  </si>
  <si>
    <t>прогноз 1</t>
  </si>
  <si>
    <t>прогноз 2</t>
  </si>
  <si>
    <t>прогноз 3</t>
  </si>
  <si>
    <t>факт.</t>
  </si>
  <si>
    <t>итог.</t>
  </si>
  <si>
    <t>длина</t>
  </si>
  <si>
    <t>клиент</t>
  </si>
  <si>
    <t>луживания</t>
  </si>
  <si>
    <t>времени</t>
  </si>
  <si>
    <t>отка--</t>
  </si>
  <si>
    <t>ухода из</t>
  </si>
  <si>
    <t>начала обс-</t>
  </si>
  <si>
    <t>номер</t>
  </si>
  <si>
    <t>сервер 1 факт</t>
  </si>
  <si>
    <t>сервер 2 факт</t>
  </si>
  <si>
    <t>сервер 3 факт</t>
  </si>
  <si>
    <t>время в</t>
  </si>
  <si>
    <t>длит-ть</t>
  </si>
  <si>
    <t>обслуж-</t>
  </si>
  <si>
    <t>очереди</t>
  </si>
  <si>
    <t>№</t>
  </si>
  <si>
    <t>клиента</t>
  </si>
  <si>
    <t>между</t>
  </si>
  <si>
    <t>на сервере</t>
  </si>
  <si>
    <t>ожидания</t>
  </si>
  <si>
    <t>зался</t>
  </si>
  <si>
    <t>начала</t>
  </si>
  <si>
    <t>сервера</t>
  </si>
  <si>
    <t>нач</t>
  </si>
  <si>
    <t>кон</t>
  </si>
  <si>
    <t>пребыв</t>
  </si>
  <si>
    <t>ивания</t>
  </si>
  <si>
    <t>ухода</t>
  </si>
  <si>
    <t>к началу</t>
  </si>
  <si>
    <t>клиентами</t>
  </si>
  <si>
    <t>(ч:мин)</t>
  </si>
  <si>
    <t>ждать ?</t>
  </si>
  <si>
    <t>(с отказ)</t>
  </si>
  <si>
    <t>обслуж.</t>
  </si>
  <si>
    <t>6.</t>
  </si>
  <si>
    <t>В ячейку А20 ввести формулу начала функции счетчика</t>
  </si>
  <si>
    <t>.=ЕСЛИ(ЕТЕКСТ(F20);"закрыто";1)</t>
  </si>
  <si>
    <t>8.</t>
  </si>
  <si>
    <t>.=ЕСЛИ(ЕТЕКСТ(F21);"закрыто";A20+1)</t>
  </si>
  <si>
    <t>9.</t>
  </si>
  <si>
    <t>.=ВПР(СЛЧИС();IAT;3)</t>
  </si>
  <si>
    <t>10.</t>
  </si>
  <si>
    <t>.=B20/1440</t>
  </si>
  <si>
    <t>11.</t>
  </si>
  <si>
    <t>.=ВПР(СЛЧИС();ST;3)</t>
  </si>
  <si>
    <t>12.</t>
  </si>
  <si>
    <t>.=D20/1440</t>
  </si>
  <si>
    <t>13.</t>
  </si>
  <si>
    <t>В ячейки F19, P19, R19, T19  ввести</t>
  </si>
  <si>
    <t>.=start</t>
  </si>
  <si>
    <t>14.</t>
  </si>
  <si>
    <t>.=ЕСЛИ(ЕТЕКСТ(F19);"";ЕСЛИ(F19+ C20&gt;=closed;"закрыто";F19+C20))</t>
  </si>
  <si>
    <t>15.</t>
  </si>
  <si>
    <t>.=ЕСЛИ(ЕТЕКСТ(F20);"";M20-F20)</t>
  </si>
  <si>
    <t>16.</t>
  </si>
  <si>
    <t>17.</t>
  </si>
  <si>
    <t>.=ЕСЛИ(H20="ушел";F20+(renegat/1440);"")</t>
  </si>
  <si>
    <t>18.</t>
  </si>
  <si>
    <t>В ячейку J20  ввести формулу</t>
  </si>
  <si>
    <t>.=МАКС(P19;$F20)</t>
  </si>
  <si>
    <t>19.</t>
  </si>
  <si>
    <t>.=ЕСЛИ(ЕТЕКСТ($F21);"";МАКС($P$19:P20;$F21))</t>
  </si>
  <si>
    <t>20.</t>
  </si>
  <si>
    <t>В ячейку K20  ввести формулу</t>
  </si>
  <si>
    <t>.=МАКС(R19;$F20)</t>
  </si>
  <si>
    <t>.=ЕСЛИ(ЕТЕКСТ($F21);"";МАКС($R$19:R20;$F21))</t>
  </si>
  <si>
    <t>В ячейку L20  ввести формулу</t>
  </si>
  <si>
    <t>.=МАКС(T19;$F20)</t>
  </si>
  <si>
    <t>.=ЕСЛИ(ЕТЕКСТ($F21);"";МАКС(T19:T20;$F21))</t>
  </si>
  <si>
    <t>.=ЕСЛИ(ЕТЕКСТ(F20);"";МИН(J20:L20))</t>
  </si>
  <si>
    <t>.=ЕСЛИ(ИЛИ(ЕТЕКСТ(F20);H20="ушел");"";ПОИСКПОЗ(M20;J20:L20;0))</t>
  </si>
  <si>
    <t>.=ЕСЛИ($N20=1;M20;"")</t>
  </si>
  <si>
    <t>.=ЕСЛИ($N20=1;O20+$E20;P19)</t>
  </si>
  <si>
    <t>.=ЕСЛИ($N20=2;M20;"")</t>
  </si>
  <si>
    <t>.=ЕСЛИ($N20=2;Q20+$E20;R19)</t>
  </si>
  <si>
    <t>.=ЕСЛИ($N20=3;M20;"")</t>
  </si>
  <si>
    <t>.=ЕСЛИ($N20=3;S20+$E20;T19)</t>
  </si>
  <si>
    <t>рассчитать "среднее время пребывания в системе"</t>
  </si>
  <si>
    <t>изменения в модели наблюдать по нажатии на клавишу F9 (c пересчетом формул с новыми случайными числами)</t>
  </si>
  <si>
    <t>изменить какие-либо значения в наборах IAT и ST и повторить моделирование</t>
  </si>
  <si>
    <t>.=СЧЁТЕСЛИ($M$19:$M19;"&gt;"&amp;$F20)</t>
  </si>
  <si>
    <t>.=ЕСЛИ(H20="ушел";I20-F20;G20)</t>
  </si>
  <si>
    <t>сервере</t>
  </si>
  <si>
    <t>.=ЕСЛИ(ИЛИ(H20="ушел";A20="закрыто");0;E20)</t>
  </si>
  <si>
    <t>.=ЕСЛИОШИБКА(Y20-F20;"")</t>
  </si>
  <si>
    <t>.=ЕСЛИОШИБКА(ЕСЛИ(H20="ушел";W20;$E20+G20);"")</t>
  </si>
  <si>
    <t>.=ЕСЛИОШИБКА(ЕСЛИ(H20="ушел";I20;ВЫБОР(N20;P20;R20;T20));"")</t>
  </si>
  <si>
    <t>В ячейки В20:В59 ввести формулу  выборки значения из диапазона IAT</t>
  </si>
  <si>
    <t>В ячейки D20:D59 ввести формулу  выборки значения из диапазона ST</t>
  </si>
  <si>
    <t>В ячейку F20  ввести формулу  и скопировать ее в ячейки F21:F59</t>
  </si>
  <si>
    <t>В ячейку G20  ввести формулу  и скопировать ее в ячейки G21:G59</t>
  </si>
  <si>
    <t>В ячейку I20  ввести формулу  и скопировать ее в ячейки I21:I59</t>
  </si>
  <si>
    <t>В ячейку J21  ввести формулу  и скопировать ее в ячейки J22:J59</t>
  </si>
  <si>
    <t>В ячейку K21  ввести формулу  и скопировать ее в ячейки K22:K59</t>
  </si>
  <si>
    <t>В ячейку L21  ввести формулу  и скопировать ее в ячейки L22:L59</t>
  </si>
  <si>
    <t>В ячейку M20  ввести формулу  и скопировать ее в ячейки M21:M59</t>
  </si>
  <si>
    <t>В ячейку N20  ввести формулу  и скопировать ее в ячейки N21:N59</t>
  </si>
  <si>
    <t>В ячейку O20  ввести формулу  и скопировать ее в ячейки O21:O59</t>
  </si>
  <si>
    <t>В ячейку P20  ввести формулу  и скопировать ее в ячейки P21:P59</t>
  </si>
  <si>
    <t>В ячейку Q20  ввести формулу  и скопировать ее в ячейки Q21:Q59</t>
  </si>
  <si>
    <t>В ячейку R20  ввести формулу  и скопировать ее в ячейки R21:R59</t>
  </si>
  <si>
    <t>В ячейку S20  ввести формулу  и скопировать ее в ячейки S21:S59</t>
  </si>
  <si>
    <t>В ячейку T20  ввести формулу  и скопировать ее в ячейки T21:T59</t>
  </si>
  <si>
    <t>В ячейку U20  ввести формулу  и скопировать ее в ячейки U21:U59</t>
  </si>
  <si>
    <t>В ячейку V20  ввести формулу  и скопировать ее в ячейки V21:V59</t>
  </si>
  <si>
    <t>В ячейку W20  ввести формулу  и скопировать ее в ячейки W21:W59</t>
  </si>
  <si>
    <t>В ячейку X20  ввести формулу  и скопировать ее в ячейки X21:X59</t>
  </si>
  <si>
    <t>В ячейку Y20  ввести формулу  и скопировать ее в ячейки Y21:Y59</t>
  </si>
  <si>
    <t>В ячейку Z20  ввести формулу  и скопировать ее в ячейки Z21:Z59</t>
  </si>
  <si>
    <t>рассчитать "среднее время обслуживания"</t>
  </si>
  <si>
    <t>в Х61</t>
  </si>
  <si>
    <t>в Х62</t>
  </si>
  <si>
    <t>.=СУММ(W20:W59)/МАКС(A20:A59)</t>
  </si>
  <si>
    <t>.=СУММЕСЛИ(N20:N59;"&gt;0";X20:X59)/МАКС(A20:A59)</t>
  </si>
  <si>
    <t>рассчитать "коэффициенты полезной загрузки сервера" для 3 серверов</t>
  </si>
  <si>
    <t>рассчитать "долю (%) потерянных клиентов"</t>
  </si>
  <si>
    <t>в Н62</t>
  </si>
  <si>
    <t>.=СЧЁТЕСЛИ(H20:H59;"ушел")/МАКС(A20:A59)</t>
  </si>
  <si>
    <t>в Т61, Т62, Т63</t>
  </si>
  <si>
    <t>SST</t>
  </si>
  <si>
    <t>время начала обслуживания</t>
  </si>
  <si>
    <t>TIQ</t>
  </si>
  <si>
    <t>время ожидания в очереди</t>
  </si>
  <si>
    <t>TIS</t>
  </si>
  <si>
    <t>время пребывания в системе</t>
  </si>
  <si>
    <t xml:space="preserve"> &lt;--- задайте эти имена подкрашенным зеленым ячейкам</t>
  </si>
  <si>
    <t>Формат данных в ячейках start, closed -</t>
  </si>
  <si>
    <t>ч:мм</t>
  </si>
  <si>
    <t xml:space="preserve"> - модуль значений меньше 0</t>
  </si>
  <si>
    <t>В столбце А укажем номера моделируемых клиентов с 1 до 40 (но с учетом времени работы системы!)</t>
  </si>
  <si>
    <t>В ячейку А21 ввести формулу функции счетчика с учетом завершения и скопировать ее до ячейки А59</t>
  </si>
  <si>
    <t>В ячейку С20  ввести формулу  перевода в минуты и скопировать ее в ячейки С21:С59</t>
  </si>
  <si>
    <t>В ячейку E20  ввести формулу  перевода в минуты и скопировать ее в ячейки E21:E59</t>
  </si>
  <si>
    <t>(например IAT 2-3-4-7 и ST 4-6-10)</t>
  </si>
  <si>
    <t>добавить круговые диаграммы загрузки серверов (по значениям Т61, Т62, Т63)</t>
  </si>
  <si>
    <t>рассчитать максимальную длину очереди (по Z)</t>
  </si>
  <si>
    <t>в Z62</t>
  </si>
  <si>
    <t xml:space="preserve"> в колонках A и F (для значения "закрыто"), H (для значения "ушел"), N (градиент по номерам серверов)</t>
  </si>
  <si>
    <t>для наглядности установить условное форматирование цвета шрифта и фона для ячеек</t>
  </si>
  <si>
    <t>7.</t>
  </si>
  <si>
    <t>В ячейку H20  ввести формулу  и скопировать ее в ячейки H21:H59</t>
  </si>
  <si>
    <t>.=ЕСЛИ(ЕТЕКСТ(F20);""; ЕСЛИ(G20&gt;(renegat/1440);"ушел";""))</t>
  </si>
  <si>
    <t>добавить линейную диаграмму времен пребывания клиентов в системе (по W)</t>
  </si>
  <si>
    <t>добавить частотную гистограмму времен пребывания клиентов в системе (по W с доп.расчетом)</t>
  </si>
  <si>
    <t>добавить точечный график для диаграммы занятости операторов (по колонкам M, N и Y)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</si>
  <si>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</si>
  <si>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</si>
  <si>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</si>
  <si>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</si>
  <si>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</si>
  <si>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</si>
  <si>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</si>
  <si>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</si>
  <si>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</si>
  <si>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</si>
  <si>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</si>
  <si>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</si>
  <si>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</si>
  <si>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</si>
  <si>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</si>
  <si>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</si>
  <si>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</si>
  <si>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</si>
  <si>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</si>
  <si>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Уйти если ожидание больше (мин)</t>
  </si>
  <si>
    <t>Среднее время пребывания в системе</t>
  </si>
  <si>
    <t>Среднее время обслуживания</t>
  </si>
  <si>
    <t>Доля потерянных клиентов</t>
  </si>
  <si>
    <t>Количество потерянных клиентов</t>
  </si>
  <si>
    <t>Макисмальная длина очереди</t>
  </si>
  <si>
    <t>Количество заявок к 1</t>
  </si>
  <si>
    <t>Количество заявок к 2</t>
  </si>
  <si>
    <t>Количество заявок к 3</t>
  </si>
  <si>
    <t>Суммарное время 1 сервера</t>
  </si>
  <si>
    <t>Суммарное время 2 сервера</t>
  </si>
  <si>
    <t>Суммарное время 3 сервера</t>
  </si>
  <si>
    <t>Клиент №</t>
  </si>
  <si>
    <t>Время прихода клиента (мин)</t>
  </si>
  <si>
    <t>Интервал между клиентами</t>
  </si>
  <si>
    <t>Время обслуживания на сервере (мин)</t>
  </si>
  <si>
    <t>Интервал обслуживания</t>
  </si>
  <si>
    <t>Момент времени прихода (ч:мин)</t>
  </si>
  <si>
    <t>Прогноз времени ожидания (ч:мин)</t>
  </si>
  <si>
    <t>Отказался ждать</t>
  </si>
  <si>
    <t>Время ухода из очереди (ч:мин)</t>
  </si>
  <si>
    <t>Фактическое время начала (ч:мин)</t>
  </si>
  <si>
    <t>Номер сервера</t>
  </si>
  <si>
    <t>Сервер 1 факт</t>
  </si>
  <si>
    <t>Начало (ч:мин)</t>
  </si>
  <si>
    <t>Конец (ч:мин)</t>
  </si>
  <si>
    <t>Сервер 2 факт</t>
  </si>
  <si>
    <t>Сервер 3 факт</t>
  </si>
  <si>
    <t>Время в очереди (ч:мин)</t>
  </si>
  <si>
    <t>Время в сервере (ч:мин)</t>
  </si>
  <si>
    <t>Длительность пребыв (ч:мин)</t>
  </si>
  <si>
    <t>Время обслуживания (с отказ)</t>
  </si>
  <si>
    <t>Итоговое время ухода</t>
  </si>
  <si>
    <t>Длина очереди к началу обслуживания</t>
  </si>
  <si>
    <r>
      <rPr>
        <b/>
        <sz val="12"/>
        <rFont val="Calibri"/>
        <family val="2"/>
        <charset val="204"/>
        <scheme val="minor"/>
      </rPr>
      <t>Прогноз 1</t>
    </r>
    <r>
      <rPr>
        <sz val="12"/>
        <rFont val="Calibri"/>
        <family val="2"/>
        <charset val="204"/>
        <scheme val="minor"/>
      </rPr>
      <t xml:space="preserve"> Начала обслуживания (ч:мин)</t>
    </r>
  </si>
  <si>
    <r>
      <rPr>
        <b/>
        <sz val="12"/>
        <rFont val="Calibri"/>
        <family val="2"/>
        <charset val="204"/>
        <scheme val="minor"/>
      </rPr>
      <t>Прогноз 2</t>
    </r>
    <r>
      <rPr>
        <sz val="12"/>
        <rFont val="Calibri"/>
        <family val="2"/>
        <charset val="204"/>
        <scheme val="minor"/>
      </rPr>
      <t xml:space="preserve"> Начала обслуживания (ч:мин)</t>
    </r>
  </si>
  <si>
    <r>
      <rPr>
        <b/>
        <sz val="12"/>
        <rFont val="Calibri"/>
        <family val="2"/>
        <charset val="204"/>
        <scheme val="minor"/>
      </rPr>
      <t>Прогноз 3</t>
    </r>
    <r>
      <rPr>
        <sz val="12"/>
        <rFont val="Calibri"/>
        <family val="2"/>
        <charset val="204"/>
        <scheme val="minor"/>
      </rPr>
      <t xml:space="preserve"> Начала обслуживания (ч:мин)</t>
    </r>
  </si>
  <si>
    <t>Вероятность</t>
  </si>
  <si>
    <t>Нижняя граница</t>
  </si>
  <si>
    <t>Верхняя граница</t>
  </si>
  <si>
    <t>Интервал прихода (мин)</t>
  </si>
  <si>
    <t>Интервал сервиса (мин)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</si>
</sst>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F400]h:mm:ss\ AM/PM"/>
  </numFmts>
  <fonts count="3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0"/>
      <name val="Arial"/>
      <family val="2"/>
    </font>
    <font>
      <sz val="10"/>
      <name val="Arial"/>
      <family val="2"/>
      <charset val="204"/>
    </font>
    <font>
      <b/>
      <i/>
      <sz val="11"/>
      <color theme="6" tint="-0.249977111117893"/>
      <name val="Calibri"/>
      <family val="2"/>
      <charset val="204"/>
      <scheme val="minor"/>
    </font>
    <font>
      <sz val="10"/>
      <name val="Arial"/>
      <family val="2"/>
    </font>
    <font>
      <sz val="11"/>
      <name val="Calibri"/>
      <family val="2"/>
      <charset val="204"/>
      <scheme val="minor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9"/>
      <name val="Arial"/>
      <family val="2"/>
      <charset val="204"/>
    </font>
    <font>
      <b/>
      <sz val="9"/>
      <color theme="3" tint="-0.249977111117893"/>
      <name val="Arial"/>
      <family val="2"/>
    </font>
    <font>
      <sz val="9"/>
      <color theme="3" tint="-0.249977111117893"/>
      <name val="Arial"/>
      <family val="2"/>
    </font>
    <font>
      <sz val="11"/>
      <color rgb="FFC00000"/>
      <name val="Calibri"/>
      <family val="2"/>
      <charset val="204"/>
      <scheme val="minor"/>
    </font>
    <font>
      <b/>
      <sz val="9"/>
      <color rgb="FFC00000"/>
      <name val="Arial"/>
      <family val="2"/>
    </font>
    <font>
      <sz val="9"/>
      <color rgb="FFC00000"/>
      <name val="Arial"/>
      <family val="2"/>
      <charset val="204"/>
    </font>
    <font>
      <b/>
      <i/>
      <sz val="9"/>
      <name val="Arial"/>
      <family val="2"/>
      <charset val="204"/>
    </font>
    <font>
      <i/>
      <sz val="10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  <xf numFmtId="0" fontId="1" fillId="4" borderId="3" applyNumberFormat="0" applyFont="0" applyAlignment="0" applyProtection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1" fillId="9" borderId="0" applyNumberFormat="0" applyBorder="0" applyAlignment="0" applyProtection="0"/>
    <xf numFmtId="0" fontId="6" fillId="10" borderId="0" applyNumberFormat="0" applyBorder="0" applyAlignment="0" applyProtection="0"/>
    <xf numFmtId="0" fontId="1" fillId="11" borderId="0" applyNumberFormat="0" applyBorder="0" applyAlignment="0" applyProtection="0"/>
  </cellStyleXfs>
  <cellXfs count="217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/>
    </xf>
    <xf numFmtId="0" fontId="9" fillId="0" borderId="4" xfId="0" applyFont="1" applyBorder="1" applyProtection="1">
      <protection locked="0"/>
    </xf>
    <xf numFmtId="0" fontId="10" fillId="0" borderId="5" xfId="0" applyFont="1" applyBorder="1" applyProtection="1">
      <protection locked="0"/>
    </xf>
    <xf numFmtId="0" fontId="9" fillId="0" borderId="5" xfId="0" applyFont="1" applyBorder="1" applyProtection="1">
      <protection locked="0"/>
    </xf>
    <xf numFmtId="0" fontId="0" fillId="0" borderId="5" xfId="0" applyBorder="1" applyProtection="1">
      <protection locked="0"/>
    </xf>
    <xf numFmtId="20" fontId="9" fillId="0" borderId="5" xfId="0" applyNumberFormat="1" applyFont="1" applyBorder="1" applyProtection="1">
      <protection locked="0"/>
    </xf>
    <xf numFmtId="0" fontId="0" fillId="0" borderId="5" xfId="0" applyBorder="1"/>
    <xf numFmtId="0" fontId="0" fillId="0" borderId="6" xfId="0" applyBorder="1"/>
    <xf numFmtId="20" fontId="10" fillId="12" borderId="7" xfId="0" applyNumberFormat="1" applyFont="1" applyFill="1" applyBorder="1" applyAlignment="1" applyProtection="1">
      <alignment horizontal="center"/>
      <protection locked="0"/>
    </xf>
    <xf numFmtId="0" fontId="10" fillId="0" borderId="8" xfId="0" applyFont="1" applyBorder="1" applyProtection="1">
      <protection locked="0"/>
    </xf>
    <xf numFmtId="20" fontId="10" fillId="12" borderId="9" xfId="0" applyNumberFormat="1" applyFont="1" applyFill="1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0" fontId="10" fillId="12" borderId="9" xfId="0" applyFont="1" applyFill="1" applyBorder="1" applyAlignment="1" applyProtection="1">
      <alignment horizontal="center"/>
      <protection locked="0"/>
    </xf>
    <xf numFmtId="20" fontId="9" fillId="0" borderId="8" xfId="0" applyNumberFormat="1" applyFont="1" applyBorder="1" applyAlignment="1" applyProtection="1">
      <alignment horizontal="left"/>
      <protection locked="0"/>
    </xf>
    <xf numFmtId="0" fontId="0" fillId="0" borderId="10" xfId="0" applyBorder="1"/>
    <xf numFmtId="0" fontId="11" fillId="0" borderId="0" xfId="0" applyFont="1" applyAlignment="1">
      <alignment horizontal="center"/>
    </xf>
    <xf numFmtId="0" fontId="0" fillId="13" borderId="0" xfId="0" applyFill="1"/>
    <xf numFmtId="0" fontId="5" fillId="1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9" fillId="14" borderId="12" xfId="0" applyFont="1" applyFill="1" applyBorder="1" applyAlignment="1" applyProtection="1">
      <alignment horizontal="center"/>
      <protection locked="0"/>
    </xf>
    <xf numFmtId="0" fontId="9" fillId="14" borderId="13" xfId="0" applyFont="1" applyFill="1" applyBorder="1" applyAlignment="1" applyProtection="1">
      <alignment horizontal="center"/>
      <protection locked="0"/>
    </xf>
    <xf numFmtId="0" fontId="9" fillId="14" borderId="0" xfId="0" applyFont="1" applyFill="1" applyAlignment="1" applyProtection="1">
      <alignment horizontal="center"/>
      <protection locked="0"/>
    </xf>
    <xf numFmtId="0" fontId="9" fillId="14" borderId="15" xfId="0" applyFont="1" applyFill="1" applyBorder="1" applyAlignment="1" applyProtection="1">
      <alignment horizontal="center"/>
      <protection locked="0"/>
    </xf>
    <xf numFmtId="0" fontId="9" fillId="14" borderId="17" xfId="0" applyFont="1" applyFill="1" applyBorder="1" applyAlignment="1" applyProtection="1">
      <alignment horizontal="center"/>
      <protection locked="0"/>
    </xf>
    <xf numFmtId="0" fontId="10" fillId="14" borderId="18" xfId="0" applyFont="1" applyFill="1" applyBorder="1" applyAlignment="1" applyProtection="1">
      <alignment horizontal="center"/>
      <protection locked="0"/>
    </xf>
    <xf numFmtId="0" fontId="12" fillId="14" borderId="14" xfId="0" applyFont="1" applyFill="1" applyBorder="1" applyAlignment="1" applyProtection="1">
      <alignment horizontal="center"/>
      <protection locked="0"/>
    </xf>
    <xf numFmtId="0" fontId="12" fillId="14" borderId="0" xfId="0" applyFont="1" applyFill="1" applyAlignment="1" applyProtection="1">
      <alignment horizontal="center"/>
      <protection locked="0"/>
    </xf>
    <xf numFmtId="0" fontId="12" fillId="14" borderId="0" xfId="0" applyFont="1" applyFill="1" applyAlignment="1">
      <alignment horizontal="center"/>
    </xf>
    <xf numFmtId="0" fontId="12" fillId="14" borderId="16" xfId="0" applyFont="1" applyFill="1" applyBorder="1" applyAlignment="1" applyProtection="1">
      <alignment horizontal="center"/>
      <protection locked="0"/>
    </xf>
    <xf numFmtId="0" fontId="12" fillId="0" borderId="5" xfId="0" applyFont="1" applyBorder="1" applyAlignment="1" applyProtection="1">
      <alignment horizontal="center"/>
      <protection locked="0"/>
    </xf>
    <xf numFmtId="0" fontId="3" fillId="3" borderId="2" xfId="2" applyNumberFormat="1" applyAlignment="1" applyProtection="1">
      <alignment horizontal="center"/>
      <protection locked="0"/>
    </xf>
    <xf numFmtId="0" fontId="14" fillId="0" borderId="5" xfId="0" applyFont="1" applyBorder="1" applyProtection="1">
      <protection locked="0"/>
    </xf>
    <xf numFmtId="0" fontId="3" fillId="4" borderId="3" xfId="4" applyNumberFormat="1" applyFont="1" applyAlignment="1" applyProtection="1">
      <alignment horizontal="center"/>
      <protection locked="0"/>
    </xf>
    <xf numFmtId="0" fontId="1" fillId="9" borderId="5" xfId="9" applyBorder="1" applyAlignment="1" applyProtection="1">
      <alignment horizontal="center"/>
      <protection locked="0"/>
    </xf>
    <xf numFmtId="0" fontId="2" fillId="2" borderId="5" xfId="1" applyBorder="1" applyAlignment="1" applyProtection="1">
      <alignment horizontal="center"/>
      <protection locked="0"/>
    </xf>
    <xf numFmtId="0" fontId="15" fillId="0" borderId="5" xfId="0" applyFont="1" applyBorder="1" applyAlignment="1" applyProtection="1">
      <alignment horizontal="center"/>
      <protection locked="0"/>
    </xf>
    <xf numFmtId="20" fontId="6" fillId="10" borderId="5" xfId="10" applyNumberFormat="1" applyBorder="1" applyAlignment="1" applyProtection="1">
      <alignment horizontal="center"/>
      <protection locked="0"/>
    </xf>
    <xf numFmtId="20" fontId="14" fillId="4" borderId="3" xfId="4" applyNumberFormat="1" applyFont="1" applyAlignment="1" applyProtection="1">
      <alignment horizontal="center"/>
      <protection locked="0"/>
    </xf>
    <xf numFmtId="0" fontId="4" fillId="3" borderId="1" xfId="3" applyAlignment="1" applyProtection="1">
      <alignment horizontal="center"/>
      <protection locked="0"/>
    </xf>
    <xf numFmtId="0" fontId="6" fillId="7" borderId="5" xfId="7" applyBorder="1" applyAlignment="1">
      <alignment horizontal="center"/>
    </xf>
    <xf numFmtId="0" fontId="6" fillId="5" borderId="5" xfId="5" applyBorder="1"/>
    <xf numFmtId="0" fontId="1" fillId="9" borderId="5" xfId="9" applyBorder="1"/>
    <xf numFmtId="0" fontId="1" fillId="6" borderId="5" xfId="6" applyBorder="1" applyAlignment="1" applyProtection="1">
      <alignment horizontal="center"/>
      <protection locked="0"/>
    </xf>
    <xf numFmtId="0" fontId="1" fillId="11" borderId="5" xfId="11" applyBorder="1" applyAlignment="1" applyProtection="1">
      <alignment horizontal="center"/>
      <protection locked="0"/>
    </xf>
    <xf numFmtId="0" fontId="6" fillId="8" borderId="5" xfId="8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" fillId="9" borderId="0" xfId="9" applyAlignment="1" applyProtection="1">
      <alignment horizontal="center"/>
      <protection locked="0"/>
    </xf>
    <xf numFmtId="0" fontId="2" fillId="2" borderId="0" xfId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20" fontId="6" fillId="10" borderId="0" xfId="10" applyNumberFormat="1" applyAlignment="1" applyProtection="1">
      <alignment horizontal="center"/>
      <protection locked="0"/>
    </xf>
    <xf numFmtId="0" fontId="1" fillId="6" borderId="0" xfId="6" applyAlignment="1" applyProtection="1">
      <alignment horizontal="center"/>
      <protection locked="0"/>
    </xf>
    <xf numFmtId="0" fontId="1" fillId="11" borderId="0" xfId="11" applyAlignment="1" applyProtection="1">
      <alignment horizontal="center"/>
      <protection locked="0"/>
    </xf>
    <xf numFmtId="0" fontId="6" fillId="8" borderId="0" xfId="8" applyAlignment="1" applyProtection="1">
      <alignment horizontal="center"/>
      <protection locked="0"/>
    </xf>
    <xf numFmtId="0" fontId="6" fillId="8" borderId="0" xfId="8" applyProtection="1">
      <protection locked="0"/>
    </xf>
    <xf numFmtId="0" fontId="9" fillId="0" borderId="17" xfId="0" applyFont="1" applyBorder="1" applyAlignment="1" applyProtection="1">
      <alignment horizontal="center"/>
      <protection locked="0"/>
    </xf>
    <xf numFmtId="0" fontId="14" fillId="0" borderId="17" xfId="0" applyFont="1" applyBorder="1" applyAlignment="1" applyProtection="1">
      <alignment horizontal="center"/>
      <protection locked="0"/>
    </xf>
    <xf numFmtId="0" fontId="1" fillId="9" borderId="17" xfId="9" applyBorder="1" applyAlignment="1" applyProtection="1">
      <alignment horizontal="center"/>
      <protection locked="0"/>
    </xf>
    <xf numFmtId="0" fontId="2" fillId="2" borderId="17" xfId="1" applyBorder="1" applyAlignment="1" applyProtection="1">
      <alignment horizontal="center"/>
      <protection locked="0"/>
    </xf>
    <xf numFmtId="0" fontId="15" fillId="0" borderId="17" xfId="0" applyFont="1" applyBorder="1" applyAlignment="1" applyProtection="1">
      <alignment horizontal="center"/>
      <protection locked="0"/>
    </xf>
    <xf numFmtId="0" fontId="6" fillId="10" borderId="17" xfId="10" applyBorder="1" applyAlignment="1" applyProtection="1">
      <alignment horizontal="center"/>
      <protection locked="0"/>
    </xf>
    <xf numFmtId="0" fontId="16" fillId="4" borderId="3" xfId="4" applyFont="1" applyAlignment="1" applyProtection="1">
      <alignment horizontal="center"/>
      <protection locked="0"/>
    </xf>
    <xf numFmtId="0" fontId="6" fillId="7" borderId="17" xfId="7" applyBorder="1" applyAlignment="1" applyProtection="1">
      <alignment horizontal="center"/>
      <protection locked="0"/>
    </xf>
    <xf numFmtId="0" fontId="6" fillId="5" borderId="17" xfId="5" applyBorder="1" applyAlignment="1" applyProtection="1">
      <alignment horizontal="center"/>
      <protection locked="0"/>
    </xf>
    <xf numFmtId="0" fontId="1" fillId="6" borderId="17" xfId="6" applyBorder="1" applyAlignment="1" applyProtection="1">
      <alignment horizontal="center"/>
      <protection locked="0"/>
    </xf>
    <xf numFmtId="0" fontId="1" fillId="11" borderId="17" xfId="11" applyBorder="1" applyAlignment="1" applyProtection="1">
      <alignment horizontal="center"/>
      <protection locked="0"/>
    </xf>
    <xf numFmtId="0" fontId="6" fillId="8" borderId="17" xfId="8" applyBorder="1" applyAlignment="1" applyProtection="1">
      <alignment horizontal="center"/>
      <protection locked="0"/>
    </xf>
    <xf numFmtId="20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7" fillId="0" borderId="5" xfId="0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8" fillId="0" borderId="17" xfId="0" applyFont="1" applyBorder="1" applyAlignment="1" applyProtection="1">
      <alignment horizontal="center"/>
      <protection locked="0"/>
    </xf>
    <xf numFmtId="0" fontId="19" fillId="0" borderId="5" xfId="0" applyFont="1" applyBorder="1"/>
    <xf numFmtId="20" fontId="20" fillId="0" borderId="0" xfId="0" applyNumberFormat="1" applyFont="1" applyAlignment="1" applyProtection="1">
      <alignment horizontal="centerContinuous"/>
      <protection locked="0"/>
    </xf>
    <xf numFmtId="20" fontId="20" fillId="0" borderId="0" xfId="0" applyNumberFormat="1" applyFont="1" applyAlignment="1" applyProtection="1">
      <alignment horizontal="center"/>
      <protection locked="0"/>
    </xf>
    <xf numFmtId="0" fontId="21" fillId="0" borderId="17" xfId="0" applyFont="1" applyBorder="1" applyAlignment="1" applyProtection="1">
      <alignment horizontal="center"/>
      <protection locked="0"/>
    </xf>
    <xf numFmtId="0" fontId="22" fillId="0" borderId="5" xfId="0" applyFont="1" applyBorder="1" applyProtection="1">
      <protection locked="0"/>
    </xf>
    <xf numFmtId="0" fontId="22" fillId="0" borderId="0" xfId="0" applyFont="1" applyAlignment="1" applyProtection="1">
      <alignment horizontal="center"/>
      <protection locked="0"/>
    </xf>
    <xf numFmtId="0" fontId="22" fillId="0" borderId="17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locked="0"/>
    </xf>
    <xf numFmtId="20" fontId="24" fillId="5" borderId="0" xfId="5" applyNumberFormat="1" applyFont="1" applyBorder="1" applyAlignment="1" applyProtection="1">
      <alignment horizontal="center"/>
      <protection locked="0"/>
    </xf>
    <xf numFmtId="20" fontId="24" fillId="7" borderId="0" xfId="7" applyNumberFormat="1" applyFont="1" applyBorder="1" applyAlignment="1" applyProtection="1">
      <alignment horizontal="center"/>
      <protection locked="0"/>
    </xf>
    <xf numFmtId="20" fontId="24" fillId="7" borderId="0" xfId="7" applyNumberFormat="1" applyFont="1" applyBorder="1" applyAlignment="1" applyProtection="1">
      <alignment horizontal="centerContinuous"/>
      <protection locked="0"/>
    </xf>
    <xf numFmtId="20" fontId="24" fillId="5" borderId="0" xfId="5" applyNumberFormat="1" applyFont="1" applyBorder="1" applyAlignment="1" applyProtection="1">
      <alignment horizontal="centerContinuous"/>
      <protection locked="0"/>
    </xf>
    <xf numFmtId="0" fontId="0" fillId="0" borderId="0" xfId="0" applyAlignment="1">
      <alignment horizontal="right"/>
    </xf>
    <xf numFmtId="0" fontId="0" fillId="13" borderId="0" xfId="0" applyFill="1" applyAlignment="1">
      <alignment horizontal="center"/>
    </xf>
    <xf numFmtId="0" fontId="12" fillId="15" borderId="0" xfId="0" applyFont="1" applyFill="1" applyAlignment="1" applyProtection="1">
      <alignment horizontal="center"/>
      <protection locked="0"/>
    </xf>
    <xf numFmtId="0" fontId="12" fillId="15" borderId="0" xfId="0" applyFont="1" applyFill="1" applyAlignment="1">
      <alignment horizontal="center"/>
    </xf>
    <xf numFmtId="0" fontId="12" fillId="15" borderId="15" xfId="0" applyFont="1" applyFill="1" applyBorder="1" applyAlignment="1" applyProtection="1">
      <alignment horizontal="center"/>
      <protection locked="0"/>
    </xf>
    <xf numFmtId="0" fontId="12" fillId="15" borderId="17" xfId="0" applyFont="1" applyFill="1" applyBorder="1" applyAlignment="1" applyProtection="1">
      <alignment horizontal="center"/>
      <protection locked="0"/>
    </xf>
    <xf numFmtId="0" fontId="12" fillId="15" borderId="17" xfId="0" applyFont="1" applyFill="1" applyBorder="1" applyAlignment="1">
      <alignment horizontal="center"/>
    </xf>
    <xf numFmtId="0" fontId="12" fillId="15" borderId="18" xfId="0" applyFont="1" applyFill="1" applyBorder="1" applyAlignment="1" applyProtection="1">
      <alignment horizontal="center"/>
      <protection locked="0"/>
    </xf>
    <xf numFmtId="0" fontId="12" fillId="13" borderId="0" xfId="0" applyFont="1" applyFill="1" applyAlignment="1" applyProtection="1">
      <alignment horizontal="center"/>
      <protection locked="0"/>
    </xf>
    <xf numFmtId="0" fontId="12" fillId="13" borderId="0" xfId="0" applyFont="1" applyFill="1" applyAlignment="1">
      <alignment horizontal="center"/>
    </xf>
    <xf numFmtId="0" fontId="12" fillId="13" borderId="15" xfId="0" applyFont="1" applyFill="1" applyBorder="1" applyAlignment="1" applyProtection="1">
      <alignment horizontal="center"/>
      <protection locked="0"/>
    </xf>
    <xf numFmtId="0" fontId="12" fillId="13" borderId="17" xfId="0" applyFont="1" applyFill="1" applyBorder="1" applyAlignment="1" applyProtection="1">
      <alignment horizontal="center"/>
      <protection locked="0"/>
    </xf>
    <xf numFmtId="0" fontId="12" fillId="13" borderId="17" xfId="0" applyFont="1" applyFill="1" applyBorder="1" applyAlignment="1">
      <alignment horizontal="center"/>
    </xf>
    <xf numFmtId="0" fontId="12" fillId="13" borderId="18" xfId="0" applyFont="1" applyFill="1" applyBorder="1" applyAlignment="1" applyProtection="1">
      <alignment horizontal="center"/>
      <protection locked="0"/>
    </xf>
    <xf numFmtId="0" fontId="5" fillId="13" borderId="0" xfId="0" applyFont="1" applyFill="1"/>
    <xf numFmtId="49" fontId="7" fillId="0" borderId="0" xfId="0" applyNumberFormat="1" applyFont="1"/>
    <xf numFmtId="0" fontId="25" fillId="0" borderId="0" xfId="0" applyFont="1"/>
    <xf numFmtId="0" fontId="26" fillId="0" borderId="0" xfId="0" applyFont="1"/>
    <xf numFmtId="0" fontId="28" fillId="14" borderId="23" xfId="0" applyFont="1" applyFill="1" applyBorder="1" applyAlignment="1" applyProtection="1">
      <alignment horizontal="center"/>
      <protection locked="0"/>
    </xf>
    <xf numFmtId="0" fontId="28" fillId="14" borderId="25" xfId="0" applyFont="1" applyFill="1" applyBorder="1" applyAlignment="1" applyProtection="1">
      <alignment horizontal="center"/>
      <protection locked="0"/>
    </xf>
    <xf numFmtId="0" fontId="27" fillId="0" borderId="11" xfId="0" applyFont="1" applyBorder="1" applyAlignment="1" applyProtection="1">
      <alignment horizontal="center"/>
      <protection locked="0"/>
    </xf>
    <xf numFmtId="0" fontId="28" fillId="0" borderId="12" xfId="0" applyFont="1" applyBorder="1" applyProtection="1">
      <protection locked="0"/>
    </xf>
    <xf numFmtId="0" fontId="27" fillId="0" borderId="12" xfId="0" applyFont="1" applyBorder="1" applyAlignment="1" applyProtection="1">
      <alignment horizontal="center"/>
      <protection locked="0"/>
    </xf>
    <xf numFmtId="0" fontId="25" fillId="0" borderId="12" xfId="0" applyFont="1" applyBorder="1" applyProtection="1">
      <protection locked="0"/>
    </xf>
    <xf numFmtId="0" fontId="28" fillId="0" borderId="17" xfId="0" applyFont="1" applyBorder="1" applyProtection="1">
      <protection locked="0"/>
    </xf>
    <xf numFmtId="0" fontId="25" fillId="0" borderId="17" xfId="0" applyFont="1" applyBorder="1" applyProtection="1">
      <protection locked="0"/>
    </xf>
    <xf numFmtId="20" fontId="27" fillId="0" borderId="17" xfId="0" applyNumberFormat="1" applyFont="1" applyBorder="1" applyAlignment="1" applyProtection="1">
      <alignment horizontal="left"/>
      <protection locked="0"/>
    </xf>
    <xf numFmtId="0" fontId="25" fillId="0" borderId="18" xfId="0" applyFont="1" applyBorder="1"/>
    <xf numFmtId="0" fontId="0" fillId="0" borderId="0" xfId="0" applyAlignment="1">
      <alignment horizontal="center"/>
    </xf>
    <xf numFmtId="0" fontId="13" fillId="14" borderId="23" xfId="0" applyFont="1" applyFill="1" applyBorder="1" applyAlignment="1">
      <alignment horizontal="center"/>
    </xf>
    <xf numFmtId="0" fontId="13" fillId="14" borderId="25" xfId="0" applyFont="1" applyFill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20" fontId="28" fillId="16" borderId="19" xfId="0" applyNumberFormat="1" applyFont="1" applyFill="1" applyBorder="1" applyAlignment="1" applyProtection="1">
      <alignment horizontal="center"/>
      <protection locked="0"/>
    </xf>
    <xf numFmtId="0" fontId="28" fillId="16" borderId="19" xfId="0" applyFont="1" applyFill="1" applyBorder="1" applyAlignment="1" applyProtection="1">
      <alignment horizontal="center"/>
      <protection locked="0"/>
    </xf>
    <xf numFmtId="0" fontId="13" fillId="16" borderId="20" xfId="0" applyFont="1" applyFill="1" applyBorder="1" applyAlignment="1">
      <alignment horizontal="center"/>
    </xf>
    <xf numFmtId="0" fontId="13" fillId="16" borderId="24" xfId="0" applyFont="1" applyFill="1" applyBorder="1" applyAlignment="1">
      <alignment horizontal="center"/>
    </xf>
    <xf numFmtId="0" fontId="13" fillId="16" borderId="26" xfId="0" applyFont="1" applyFill="1" applyBorder="1" applyAlignment="1">
      <alignment horizontal="center"/>
    </xf>
    <xf numFmtId="0" fontId="13" fillId="16" borderId="27" xfId="0" applyFont="1" applyFill="1" applyBorder="1" applyAlignment="1">
      <alignment horizontal="center"/>
    </xf>
    <xf numFmtId="0" fontId="28" fillId="16" borderId="20" xfId="0" applyFont="1" applyFill="1" applyBorder="1" applyAlignment="1" applyProtection="1">
      <alignment horizontal="center"/>
      <protection locked="0"/>
    </xf>
    <xf numFmtId="0" fontId="28" fillId="16" borderId="20" xfId="0" applyFont="1" applyFill="1" applyBorder="1" applyAlignment="1">
      <alignment horizontal="center"/>
    </xf>
    <xf numFmtId="0" fontId="28" fillId="16" borderId="24" xfId="0" applyFont="1" applyFill="1" applyBorder="1" applyAlignment="1" applyProtection="1">
      <alignment horizontal="center"/>
      <protection locked="0"/>
    </xf>
    <xf numFmtId="0" fontId="28" fillId="16" borderId="26" xfId="0" applyFont="1" applyFill="1" applyBorder="1" applyAlignment="1">
      <alignment horizontal="center"/>
    </xf>
    <xf numFmtId="0" fontId="28" fillId="16" borderId="27" xfId="0" applyFont="1" applyFill="1" applyBorder="1" applyAlignment="1" applyProtection="1">
      <alignment horizontal="center"/>
      <protection locked="0"/>
    </xf>
    <xf numFmtId="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9" fillId="14" borderId="11" xfId="0" applyFont="1" applyFill="1" applyBorder="1" applyAlignment="1" applyProtection="1">
      <alignment horizontal="center" vertical="center" wrapText="1"/>
      <protection locked="0"/>
    </xf>
    <xf numFmtId="0" fontId="9" fillId="14" borderId="14" xfId="0" applyFont="1" applyFill="1" applyBorder="1" applyAlignment="1" applyProtection="1">
      <alignment horizontal="center" vertical="center" wrapText="1"/>
      <protection locked="0"/>
    </xf>
    <xf numFmtId="0" fontId="9" fillId="14" borderId="16" xfId="0" applyFont="1" applyFill="1" applyBorder="1" applyAlignment="1" applyProtection="1">
      <alignment horizontal="center" vertical="center" wrapText="1"/>
      <protection locked="0"/>
    </xf>
    <xf numFmtId="0" fontId="13" fillId="14" borderId="14" xfId="0" applyFont="1" applyFill="1" applyBorder="1" applyAlignment="1">
      <alignment horizontal="center" vertical="center" wrapText="1"/>
    </xf>
    <xf numFmtId="0" fontId="13" fillId="14" borderId="16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20" fontId="27" fillId="0" borderId="12" xfId="0" applyNumberFormat="1" applyFont="1" applyBorder="1" applyAlignment="1" applyProtection="1">
      <alignment horizontal="center"/>
      <protection locked="0"/>
    </xf>
    <xf numFmtId="20" fontId="27" fillId="0" borderId="13" xfId="0" applyNumberFormat="1" applyFont="1" applyBorder="1" applyAlignment="1" applyProtection="1">
      <alignment horizontal="center"/>
      <protection locked="0"/>
    </xf>
    <xf numFmtId="0" fontId="29" fillId="14" borderId="31" xfId="0" applyFont="1" applyFill="1" applyBorder="1" applyAlignment="1" applyProtection="1">
      <alignment horizontal="center" vertical="center" wrapText="1"/>
      <protection locked="0"/>
    </xf>
    <xf numFmtId="0" fontId="29" fillId="14" borderId="32" xfId="0" applyFont="1" applyFill="1" applyBorder="1" applyAlignment="1" applyProtection="1">
      <alignment horizontal="center" vertical="center" wrapText="1"/>
      <protection locked="0"/>
    </xf>
    <xf numFmtId="0" fontId="29" fillId="14" borderId="33" xfId="0" applyFont="1" applyFill="1" applyBorder="1" applyAlignment="1" applyProtection="1">
      <alignment horizontal="center" vertical="center" wrapText="1"/>
      <protection locked="0"/>
    </xf>
    <xf numFmtId="0" fontId="29" fillId="14" borderId="28" xfId="0" applyFont="1" applyFill="1" applyBorder="1" applyAlignment="1" applyProtection="1">
      <alignment horizontal="center" vertical="center" wrapText="1"/>
      <protection locked="0"/>
    </xf>
    <xf numFmtId="0" fontId="29" fillId="14" borderId="29" xfId="0" applyFont="1" applyFill="1" applyBorder="1" applyAlignment="1" applyProtection="1">
      <alignment horizontal="center" vertical="center" wrapText="1"/>
      <protection locked="0"/>
    </xf>
    <xf numFmtId="0" fontId="29" fillId="14" borderId="30" xfId="0" applyFont="1" applyFill="1" applyBorder="1" applyAlignment="1" applyProtection="1">
      <alignment horizontal="center" vertical="center" wrapText="1"/>
      <protection locked="0"/>
    </xf>
    <xf numFmtId="0" fontId="29" fillId="14" borderId="34" xfId="0" applyFont="1" applyFill="1" applyBorder="1" applyAlignment="1" applyProtection="1">
      <alignment horizontal="center" vertical="center" wrapText="1"/>
      <protection locked="0"/>
    </xf>
    <xf numFmtId="0" fontId="29" fillId="14" borderId="35" xfId="0" applyFont="1" applyFill="1" applyBorder="1" applyAlignment="1" applyProtection="1">
      <alignment horizontal="center" vertical="center" wrapText="1"/>
      <protection locked="0"/>
    </xf>
    <xf numFmtId="0" fontId="29" fillId="14" borderId="36" xfId="0" applyFont="1" applyFill="1" applyBorder="1" applyAlignment="1" applyProtection="1">
      <alignment horizontal="center" vertical="center" wrapText="1"/>
      <protection locked="0"/>
    </xf>
    <xf numFmtId="0" fontId="27" fillId="14" borderId="21" xfId="0" applyFont="1" applyFill="1" applyBorder="1" applyAlignment="1" applyProtection="1">
      <alignment horizontal="center" vertical="center" wrapText="1"/>
      <protection locked="0"/>
    </xf>
    <xf numFmtId="0" fontId="27" fillId="14" borderId="23" xfId="0" applyFont="1" applyFill="1" applyBorder="1" applyAlignment="1" applyProtection="1">
      <alignment horizontal="center" vertical="center" wrapText="1"/>
      <protection locked="0"/>
    </xf>
    <xf numFmtId="0" fontId="28" fillId="14" borderId="22" xfId="0" applyFont="1" applyFill="1" applyBorder="1" applyAlignment="1" applyProtection="1">
      <alignment horizontal="center" vertical="center" wrapText="1"/>
      <protection locked="0"/>
    </xf>
    <xf numFmtId="0" fontId="28" fillId="14" borderId="20" xfId="0" applyFont="1" applyFill="1" applyBorder="1" applyAlignment="1" applyProtection="1">
      <alignment horizontal="center" vertical="center" wrapText="1"/>
      <protection locked="0"/>
    </xf>
    <xf numFmtId="0" fontId="28" fillId="14" borderId="26" xfId="0" applyFont="1" applyFill="1" applyBorder="1" applyAlignment="1" applyProtection="1">
      <alignment horizontal="center" vertical="center" wrapText="1"/>
      <protection locked="0"/>
    </xf>
    <xf numFmtId="0" fontId="27" fillId="14" borderId="22" xfId="0" applyFont="1" applyFill="1" applyBorder="1" applyAlignment="1" applyProtection="1">
      <alignment horizontal="center" vertical="center" wrapText="1"/>
      <protection locked="0"/>
    </xf>
    <xf numFmtId="0" fontId="27" fillId="14" borderId="20" xfId="0" applyFont="1" applyFill="1" applyBorder="1" applyAlignment="1" applyProtection="1">
      <alignment horizontal="center" vertical="center" wrapText="1"/>
      <protection locked="0"/>
    </xf>
    <xf numFmtId="0" fontId="27" fillId="14" borderId="7" xfId="0" applyFont="1" applyFill="1" applyBorder="1" applyAlignment="1" applyProtection="1">
      <alignment horizontal="center" vertical="center" wrapText="1"/>
      <protection locked="0"/>
    </xf>
    <xf numFmtId="0" fontId="27" fillId="14" borderId="24" xfId="0" applyFont="1" applyFill="1" applyBorder="1" applyAlignment="1" applyProtection="1">
      <alignment horizontal="center" vertical="center" wrapText="1"/>
      <protection locked="0"/>
    </xf>
    <xf numFmtId="0" fontId="27" fillId="14" borderId="21" xfId="0" applyFont="1" applyFill="1" applyBorder="1" applyAlignment="1" applyProtection="1">
      <alignment horizontal="center" vertical="center"/>
      <protection locked="0"/>
    </xf>
    <xf numFmtId="0" fontId="27" fillId="14" borderId="23" xfId="0" applyFont="1" applyFill="1" applyBorder="1" applyAlignment="1" applyProtection="1">
      <alignment horizontal="center" vertical="center"/>
      <protection locked="0"/>
    </xf>
    <xf numFmtId="0" fontId="27" fillId="14" borderId="25" xfId="0" applyFont="1" applyFill="1" applyBorder="1" applyAlignment="1" applyProtection="1">
      <alignment horizontal="center" vertical="center"/>
      <protection locked="0"/>
    </xf>
    <xf numFmtId="0" fontId="28" fillId="14" borderId="22" xfId="2" applyNumberFormat="1" applyFont="1" applyFill="1" applyBorder="1" applyAlignment="1" applyProtection="1">
      <alignment horizontal="center" vertical="center" wrapText="1"/>
      <protection locked="0"/>
    </xf>
    <xf numFmtId="0" fontId="28" fillId="14" borderId="20" xfId="2" applyNumberFormat="1" applyFont="1" applyFill="1" applyBorder="1" applyAlignment="1" applyProtection="1">
      <alignment horizontal="center" vertical="center" wrapText="1"/>
      <protection locked="0"/>
    </xf>
    <xf numFmtId="0" fontId="28" fillId="14" borderId="26" xfId="2" applyNumberFormat="1" applyFont="1" applyFill="1" applyBorder="1" applyAlignment="1" applyProtection="1">
      <alignment horizontal="center" vertical="center" wrapText="1"/>
      <protection locked="0"/>
    </xf>
    <xf numFmtId="0" fontId="28" fillId="14" borderId="22" xfId="4" applyNumberFormat="1" applyFont="1" applyFill="1" applyBorder="1" applyAlignment="1" applyProtection="1">
      <alignment horizontal="center" vertical="center" wrapText="1"/>
      <protection locked="0"/>
    </xf>
    <xf numFmtId="0" fontId="28" fillId="14" borderId="20" xfId="4" applyNumberFormat="1" applyFont="1" applyFill="1" applyBorder="1" applyAlignment="1" applyProtection="1">
      <alignment horizontal="center" vertical="center" wrapText="1"/>
      <protection locked="0"/>
    </xf>
    <xf numFmtId="0" fontId="28" fillId="14" borderId="26" xfId="4" applyNumberFormat="1" applyFont="1" applyFill="1" applyBorder="1" applyAlignment="1" applyProtection="1">
      <alignment horizontal="center" vertical="center" wrapText="1"/>
      <protection locked="0"/>
    </xf>
    <xf numFmtId="0" fontId="28" fillId="14" borderId="22" xfId="9" applyFont="1" applyFill="1" applyBorder="1" applyAlignment="1" applyProtection="1">
      <alignment horizontal="center" vertical="center" wrapText="1"/>
      <protection locked="0"/>
    </xf>
    <xf numFmtId="0" fontId="28" fillId="14" borderId="20" xfId="9" applyFont="1" applyFill="1" applyBorder="1" applyAlignment="1" applyProtection="1">
      <alignment horizontal="center" vertical="center" wrapText="1"/>
      <protection locked="0"/>
    </xf>
    <xf numFmtId="0" fontId="28" fillId="14" borderId="26" xfId="9" applyFont="1" applyFill="1" applyBorder="1" applyAlignment="1" applyProtection="1">
      <alignment horizontal="center" vertical="center" wrapText="1"/>
      <protection locked="0"/>
    </xf>
    <xf numFmtId="0" fontId="28" fillId="14" borderId="22" xfId="1" applyFont="1" applyFill="1" applyBorder="1" applyAlignment="1" applyProtection="1">
      <alignment horizontal="center" vertical="center" wrapText="1"/>
      <protection locked="0"/>
    </xf>
    <xf numFmtId="0" fontId="28" fillId="14" borderId="20" xfId="1" applyFont="1" applyFill="1" applyBorder="1" applyAlignment="1" applyProtection="1">
      <alignment horizontal="center" vertical="center" wrapText="1"/>
      <protection locked="0"/>
    </xf>
    <xf numFmtId="0" fontId="28" fillId="14" borderId="26" xfId="1" applyFont="1" applyFill="1" applyBorder="1" applyAlignment="1" applyProtection="1">
      <alignment horizontal="center" vertical="center" wrapText="1"/>
      <protection locked="0"/>
    </xf>
    <xf numFmtId="0" fontId="28" fillId="21" borderId="22" xfId="0" applyFont="1" applyFill="1" applyBorder="1" applyAlignment="1" applyProtection="1">
      <alignment horizontal="center" vertical="center" wrapText="1"/>
      <protection locked="0"/>
    </xf>
    <xf numFmtId="0" fontId="28" fillId="21" borderId="20" xfId="0" applyFont="1" applyFill="1" applyBorder="1" applyAlignment="1" applyProtection="1">
      <alignment horizontal="center" vertical="center" wrapText="1"/>
      <protection locked="0"/>
    </xf>
    <xf numFmtId="0" fontId="28" fillId="21" borderId="26" xfId="0" applyFont="1" applyFill="1" applyBorder="1" applyAlignment="1" applyProtection="1">
      <alignment horizontal="center" vertical="center" wrapText="1"/>
      <protection locked="0"/>
    </xf>
    <xf numFmtId="20" fontId="28" fillId="21" borderId="22" xfId="10" applyNumberFormat="1" applyFont="1" applyFill="1" applyBorder="1" applyAlignment="1" applyProtection="1">
      <alignment horizontal="center" vertical="center" wrapText="1"/>
      <protection locked="0"/>
    </xf>
    <xf numFmtId="20" fontId="28" fillId="21" borderId="20" xfId="10" applyNumberFormat="1" applyFont="1" applyFill="1" applyBorder="1" applyAlignment="1" applyProtection="1">
      <alignment horizontal="center" vertical="center" wrapText="1"/>
      <protection locked="0"/>
    </xf>
    <xf numFmtId="20" fontId="28" fillId="21" borderId="26" xfId="10" applyNumberFormat="1" applyFont="1" applyFill="1" applyBorder="1" applyAlignment="1" applyProtection="1">
      <alignment horizontal="center" vertical="center" wrapText="1"/>
      <protection locked="0"/>
    </xf>
    <xf numFmtId="20" fontId="28" fillId="14" borderId="22" xfId="4" applyNumberFormat="1" applyFont="1" applyFill="1" applyBorder="1" applyAlignment="1" applyProtection="1">
      <alignment horizontal="center" vertical="center" wrapText="1"/>
      <protection locked="0"/>
    </xf>
    <xf numFmtId="20" fontId="28" fillId="14" borderId="20" xfId="4" applyNumberFormat="1" applyFont="1" applyFill="1" applyBorder="1" applyAlignment="1" applyProtection="1">
      <alignment horizontal="center" vertical="center" wrapText="1"/>
      <protection locked="0"/>
    </xf>
    <xf numFmtId="20" fontId="28" fillId="14" borderId="26" xfId="4" applyNumberFormat="1" applyFont="1" applyFill="1" applyBorder="1" applyAlignment="1" applyProtection="1">
      <alignment horizontal="center" vertical="center" wrapText="1"/>
      <protection locked="0"/>
    </xf>
    <xf numFmtId="0" fontId="28" fillId="20" borderId="22" xfId="3" applyFont="1" applyFill="1" applyBorder="1" applyAlignment="1" applyProtection="1">
      <alignment horizontal="center" vertical="center" wrapText="1"/>
      <protection locked="0"/>
    </xf>
    <xf numFmtId="0" fontId="28" fillId="20" borderId="20" xfId="3" applyFont="1" applyFill="1" applyBorder="1" applyAlignment="1" applyProtection="1">
      <alignment horizontal="center" vertical="center" wrapText="1"/>
      <protection locked="0"/>
    </xf>
    <xf numFmtId="0" fontId="28" fillId="20" borderId="26" xfId="3" applyFont="1" applyFill="1" applyBorder="1" applyAlignment="1" applyProtection="1">
      <alignment horizontal="center" vertical="center" wrapText="1"/>
      <protection locked="0"/>
    </xf>
    <xf numFmtId="20" fontId="28" fillId="14" borderId="22" xfId="7" applyNumberFormat="1" applyFont="1" applyFill="1" applyBorder="1" applyAlignment="1" applyProtection="1">
      <alignment horizontal="center" vertical="center" wrapText="1"/>
      <protection locked="0"/>
    </xf>
    <xf numFmtId="20" fontId="28" fillId="14" borderId="20" xfId="7" applyNumberFormat="1" applyFont="1" applyFill="1" applyBorder="1" applyAlignment="1" applyProtection="1">
      <alignment horizontal="center" vertical="center" wrapText="1"/>
      <protection locked="0"/>
    </xf>
    <xf numFmtId="20" fontId="28" fillId="14" borderId="26" xfId="7" applyNumberFormat="1" applyFont="1" applyFill="1" applyBorder="1" applyAlignment="1" applyProtection="1">
      <alignment horizontal="center" vertical="center" wrapText="1"/>
      <protection locked="0"/>
    </xf>
    <xf numFmtId="20" fontId="28" fillId="14" borderId="22" xfId="5" applyNumberFormat="1" applyFont="1" applyFill="1" applyBorder="1" applyAlignment="1" applyProtection="1">
      <alignment horizontal="center" vertical="center" wrapText="1"/>
      <protection locked="0"/>
    </xf>
    <xf numFmtId="20" fontId="28" fillId="14" borderId="20" xfId="5" applyNumberFormat="1" applyFont="1" applyFill="1" applyBorder="1" applyAlignment="1" applyProtection="1">
      <alignment horizontal="center" vertical="center" wrapText="1"/>
      <protection locked="0"/>
    </xf>
    <xf numFmtId="20" fontId="28" fillId="14" borderId="26" xfId="5" applyNumberFormat="1" applyFont="1" applyFill="1" applyBorder="1" applyAlignment="1" applyProtection="1">
      <alignment horizontal="center" vertical="center" wrapText="1"/>
      <protection locked="0"/>
    </xf>
    <xf numFmtId="20" fontId="28" fillId="19" borderId="20" xfId="0" applyNumberFormat="1" applyFont="1" applyFill="1" applyBorder="1" applyAlignment="1" applyProtection="1">
      <alignment horizontal="center" vertical="center" wrapText="1"/>
      <protection locked="0"/>
    </xf>
    <xf numFmtId="20" fontId="28" fillId="19" borderId="26" xfId="0" applyNumberFormat="1" applyFont="1" applyFill="1" applyBorder="1" applyAlignment="1" applyProtection="1">
      <alignment horizontal="center" vertical="center" wrapText="1"/>
      <protection locked="0"/>
    </xf>
    <xf numFmtId="0" fontId="28" fillId="14" borderId="22" xfId="11" applyFont="1" applyFill="1" applyBorder="1" applyAlignment="1" applyProtection="1">
      <alignment horizontal="center" vertical="center" wrapText="1"/>
      <protection locked="0"/>
    </xf>
    <xf numFmtId="0" fontId="28" fillId="14" borderId="20" xfId="11" applyFont="1" applyFill="1" applyBorder="1" applyAlignment="1" applyProtection="1">
      <alignment horizontal="center" vertical="center" wrapText="1"/>
      <protection locked="0"/>
    </xf>
    <xf numFmtId="0" fontId="28" fillId="14" borderId="26" xfId="11" applyFont="1" applyFill="1" applyBorder="1" applyAlignment="1" applyProtection="1">
      <alignment horizontal="center" vertical="center" wrapText="1"/>
      <protection locked="0"/>
    </xf>
    <xf numFmtId="0" fontId="28" fillId="14" borderId="7" xfId="8" applyFont="1" applyFill="1" applyBorder="1" applyAlignment="1" applyProtection="1">
      <alignment horizontal="center" vertical="center" wrapText="1"/>
      <protection locked="0"/>
    </xf>
    <xf numFmtId="0" fontId="28" fillId="14" borderId="24" xfId="8" applyFont="1" applyFill="1" applyBorder="1" applyAlignment="1" applyProtection="1">
      <alignment horizontal="center" vertical="center" wrapText="1"/>
      <protection locked="0"/>
    </xf>
    <xf numFmtId="0" fontId="28" fillId="14" borderId="27" xfId="8" applyFont="1" applyFill="1" applyBorder="1" applyAlignment="1" applyProtection="1">
      <alignment horizontal="center" vertical="center" wrapText="1"/>
      <protection locked="0"/>
    </xf>
    <xf numFmtId="20" fontId="27" fillId="17" borderId="22" xfId="0" applyNumberFormat="1" applyFont="1" applyFill="1" applyBorder="1" applyAlignment="1" applyProtection="1">
      <alignment horizontal="center" vertical="center" wrapText="1"/>
      <protection locked="0"/>
    </xf>
    <xf numFmtId="20" fontId="27" fillId="17" borderId="20" xfId="0" applyNumberFormat="1" applyFont="1" applyFill="1" applyBorder="1" applyAlignment="1" applyProtection="1">
      <alignment horizontal="center" vertical="center" wrapText="1"/>
      <protection locked="0"/>
    </xf>
    <xf numFmtId="20" fontId="27" fillId="18" borderId="22" xfId="0" applyNumberFormat="1" applyFont="1" applyFill="1" applyBorder="1" applyAlignment="1" applyProtection="1">
      <alignment horizontal="center" vertical="center" wrapText="1"/>
      <protection locked="0"/>
    </xf>
    <xf numFmtId="20" fontId="27" fillId="18" borderId="20" xfId="0" applyNumberFormat="1" applyFont="1" applyFill="1" applyBorder="1" applyAlignment="1" applyProtection="1">
      <alignment horizontal="center" vertical="center" wrapText="1"/>
      <protection locked="0"/>
    </xf>
    <xf numFmtId="20" fontId="27" fillId="19" borderId="22" xfId="0" applyNumberFormat="1" applyFont="1" applyFill="1" applyBorder="1" applyAlignment="1" applyProtection="1">
      <alignment horizontal="center" vertical="center" wrapText="1"/>
      <protection locked="0"/>
    </xf>
    <xf numFmtId="20" fontId="27" fillId="19" borderId="20" xfId="0" applyNumberFormat="1" applyFont="1" applyFill="1" applyBorder="1" applyAlignment="1" applyProtection="1">
      <alignment horizontal="center" vertical="center" wrapText="1"/>
      <protection locked="0"/>
    </xf>
    <xf numFmtId="20" fontId="28" fillId="17" borderId="20" xfId="0" applyNumberFormat="1" applyFont="1" applyFill="1" applyBorder="1" applyAlignment="1" applyProtection="1">
      <alignment horizontal="center" vertical="center" wrapText="1"/>
      <protection locked="0"/>
    </xf>
    <xf numFmtId="20" fontId="28" fillId="17" borderId="26" xfId="0" applyNumberFormat="1" applyFont="1" applyFill="1" applyBorder="1" applyAlignment="1" applyProtection="1">
      <alignment horizontal="center" vertical="center" wrapText="1"/>
      <protection locked="0"/>
    </xf>
    <xf numFmtId="20" fontId="28" fillId="18" borderId="20" xfId="0" applyNumberFormat="1" applyFont="1" applyFill="1" applyBorder="1" applyAlignment="1" applyProtection="1">
      <alignment horizontal="center" vertical="center" wrapText="1"/>
      <protection locked="0"/>
    </xf>
    <xf numFmtId="20" fontId="28" fillId="18" borderId="26" xfId="0" applyNumberFormat="1" applyFont="1" applyFill="1" applyBorder="1" applyAlignment="1" applyProtection="1">
      <alignment horizontal="center" vertical="center" wrapText="1"/>
      <protection locked="0"/>
    </xf>
    <xf numFmtId="0" fontId="28" fillId="14" borderId="22" xfId="6" applyFont="1" applyFill="1" applyBorder="1" applyAlignment="1" applyProtection="1">
      <alignment horizontal="center" vertical="center" wrapText="1"/>
      <protection locked="0"/>
    </xf>
    <xf numFmtId="0" fontId="28" fillId="14" borderId="20" xfId="6" applyFont="1" applyFill="1" applyBorder="1" applyAlignment="1" applyProtection="1">
      <alignment horizontal="center" vertical="center" wrapText="1"/>
      <protection locked="0"/>
    </xf>
    <xf numFmtId="0" fontId="28" fillId="14" borderId="26" xfId="6" applyFont="1" applyFill="1" applyBorder="1" applyAlignment="1" applyProtection="1">
      <alignment horizontal="center" vertical="center" wrapText="1"/>
      <protection locked="0"/>
    </xf>
  </cellXfs>
  <cellStyles count="12">
    <cellStyle name="20% — акцент2" xfId="6" builtinId="34"/>
    <cellStyle name="20% — акцент5" xfId="9" builtinId="46"/>
    <cellStyle name="20% — акцент6" xfId="11" builtinId="50"/>
    <cellStyle name="60% — акцент1" xfId="5" builtinId="32"/>
    <cellStyle name="60% — акцент2" xfId="7" builtinId="36"/>
    <cellStyle name="Акцент4" xfId="8" builtinId="41"/>
    <cellStyle name="Акцент6" xfId="10" builtinId="49"/>
    <cellStyle name="Вывод" xfId="2" builtinId="21"/>
    <cellStyle name="Вычисление" xfId="3" builtinId="22"/>
    <cellStyle name="Обычный" xfId="0" builtinId="0"/>
    <cellStyle name="Примечание" xfId="4" builtinId="10"/>
    <cellStyle name="Хороший" xfId="1" builtinId="26"/>
  </cellStyles>
  <dxfs count="10">
    <dxf>
      <fill>
        <patternFill patternType="solid">
          <fgColor auto="1"/>
          <bgColor theme="5" tint="0.79998168889431442"/>
        </patternFill>
      </fill>
    </dxf>
    <dxf>
      <font>
        <b/>
        <i val="0"/>
      </font>
      <fill>
        <patternFill>
          <bgColor rgb="FFCCFFCC"/>
        </patternFill>
      </fill>
    </dxf>
    <dxf>
      <font>
        <b/>
        <i val="0"/>
      </font>
      <fill>
        <patternFill>
          <bgColor rgb="FFCCFFCC"/>
        </patternFill>
      </fill>
    </dxf>
    <dxf>
      <font>
        <b/>
        <i val="0"/>
      </font>
      <fill>
        <patternFill>
          <bgColor rgb="FFCCFFCC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 patternType="solid">
          <fgColor auto="1"/>
          <bgColor theme="5" tint="0.79998168889431442"/>
        </patternFill>
      </fill>
    </dxf>
  </dxfs>
  <tableStyles count="0" defaultTableStyle="TableStyleMedium9" defaultPivotStyle="PivotStyleLight16"/>
  <colors>
    <mruColors>
      <color rgb="FFFFCCCC"/>
      <color rgb="FFFFFFFF"/>
      <color rgb="FFCC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Коэффициент</a:t>
            </a:r>
            <a:r>
              <a:rPr lang="ru-RU" baseline="0"/>
              <a:t> пполезной нагрузки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78-4C33-A765-B752B8E3030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78-4C33-A765-B752B8E3030E}"/>
              </c:ext>
            </c:extLst>
          </c:dPt>
          <c:dPt>
            <c:idx val="2"/>
            <c:bubble3D val="0"/>
            <c:spPr>
              <a:solidFill>
                <a:schemeClr val="accent3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78-4C33-A765-B752B8E303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модель!$T$61:$T$63</c:f>
              <c:numCache>
                <c:formatCode>0%</c:formatCode>
                <c:ptCount val="3"/>
                <c:pt idx="0">
                  <c:v>0.29166666666666641</c:v>
                </c:pt>
                <c:pt idx="1">
                  <c:v>0.41666666666666674</c:v>
                </c:pt>
                <c:pt idx="2">
                  <c:v>0.54166666666666674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1-4771-BDF6-DAE2580B8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v>Загрузка сервера 1</c:v>
          </c:tx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08-43AD-BE61-7F5A6D913DDD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08-43AD-BE61-7F5A6D913D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модель!$S$61:$T$61</c:f>
              <c:numCache>
                <c:formatCode>0%</c:formatCode>
                <c:ptCount val="2"/>
                <c:pt idx="0">
                  <c:v>0.70833333333333359</c:v>
                </c:pt>
                <c:pt idx="1">
                  <c:v>0.29166666666666641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6-49DC-A259-E7C7D401E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v>Загрузка сервера 2</c:v>
          </c:tx>
          <c:dPt>
            <c:idx val="0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13-4AD1-85E2-404A090C20CB}"/>
              </c:ext>
            </c:extLst>
          </c:dPt>
          <c:dPt>
            <c:idx val="1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13-4AD1-85E2-404A090C20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модель!$S$62:$T$62</c:f>
              <c:numCache>
                <c:formatCode>0%</c:formatCode>
                <c:ptCount val="2"/>
                <c:pt idx="0">
                  <c:v>0.58333333333333326</c:v>
                </c:pt>
                <c:pt idx="1">
                  <c:v>0.41666666666666674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1-4192-9C4E-5635A40E0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v>Загрузка сервера 3</c:v>
          </c:tx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ED-4CC4-AA68-2A3AA6615037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ED-4CC4-AA68-2A3AA66150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модель!$S$63:$T$63</c:f>
              <c:numCache>
                <c:formatCode>0%</c:formatCode>
                <c:ptCount val="2"/>
                <c:pt idx="0">
                  <c:v>0.45833333333333331</c:v>
                </c:pt>
                <c:pt idx="1">
                  <c:v>0.54166666666666674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9-4F8E-977F-98AAC274B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Время пребывания клитентов в системе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модель!$W$20:$W$59</c:f>
              <c:numCache>
                <c:formatCode>h:mm;@</c:formatCode>
                <c:ptCount val="40"/>
                <c:pt idx="0">
                  <c:v>4.8611111111110938E-3</c:v>
                </c:pt>
                <c:pt idx="1">
                  <c:v>2.0833333333333259E-3</c:v>
                </c:pt>
                <c:pt idx="2">
                  <c:v>4.8611111111110938E-3</c:v>
                </c:pt>
                <c:pt idx="3">
                  <c:v>4.8611111111110938E-3</c:v>
                </c:pt>
                <c:pt idx="4">
                  <c:v>2.0833333333333259E-3</c:v>
                </c:pt>
                <c:pt idx="5">
                  <c:v>2.0833333333333259E-3</c:v>
                </c:pt>
                <c:pt idx="6">
                  <c:v>2.0833333333333259E-3</c:v>
                </c:pt>
                <c:pt idx="7">
                  <c:v>2.0833333333333259E-3</c:v>
                </c:pt>
                <c:pt idx="8">
                  <c:v>2.0833333333333259E-3</c:v>
                </c:pt>
                <c:pt idx="9">
                  <c:v>2.0833333333333259E-3</c:v>
                </c:pt>
                <c:pt idx="10">
                  <c:v>5.5555555555555358E-3</c:v>
                </c:pt>
                <c:pt idx="11">
                  <c:v>5.5555555555555358E-3</c:v>
                </c:pt>
                <c:pt idx="12">
                  <c:v>2.0833333333333259E-3</c:v>
                </c:pt>
                <c:pt idx="13">
                  <c:v>5.5555555555555358E-3</c:v>
                </c:pt>
                <c:pt idx="14">
                  <c:v>4.8611111111110938E-3</c:v>
                </c:pt>
                <c:pt idx="15">
                  <c:v>4.8611111111110938E-3</c:v>
                </c:pt>
                <c:pt idx="16">
                  <c:v>4.8611111111110938E-3</c:v>
                </c:pt>
                <c:pt idx="17">
                  <c:v>2.0833333333333259E-3</c:v>
                </c:pt>
                <c:pt idx="18">
                  <c:v>4.8611111111110938E-3</c:v>
                </c:pt>
                <c:pt idx="19">
                  <c:v>4.8611111111110938E-3</c:v>
                </c:pt>
                <c:pt idx="20">
                  <c:v>4.8611111111110938E-3</c:v>
                </c:pt>
                <c:pt idx="21">
                  <c:v>5.5555555555555358E-3</c:v>
                </c:pt>
                <c:pt idx="22">
                  <c:v>5.5555555555555358E-3</c:v>
                </c:pt>
                <c:pt idx="23">
                  <c:v>2.0833333333333259E-3</c:v>
                </c:pt>
                <c:pt idx="24">
                  <c:v>2.0833333333333259E-3</c:v>
                </c:pt>
                <c:pt idx="25">
                  <c:v>4.8611111111110938E-3</c:v>
                </c:pt>
                <c:pt idx="26">
                  <c:v>2.0833333333333259E-3</c:v>
                </c:pt>
                <c:pt idx="27">
                  <c:v>4.8611111111110938E-3</c:v>
                </c:pt>
                <c:pt idx="28">
                  <c:v>5.5555555555555358E-3</c:v>
                </c:pt>
                <c:pt idx="29">
                  <c:v>1.388888888888884E-3</c:v>
                </c:pt>
                <c:pt idx="30">
                  <c:v>6.2499999999999778E-3</c:v>
                </c:pt>
                <c:pt idx="31">
                  <c:v>2.7777777777777679E-3</c:v>
                </c:pt>
                <c:pt idx="32">
                  <c:v>6.9444444444444198E-3</c:v>
                </c:pt>
                <c:pt idx="33">
                  <c:v>4.8611111111110938E-3</c:v>
                </c:pt>
                <c:pt idx="34">
                  <c:v>5.5555555555555358E-3</c:v>
                </c:pt>
                <c:pt idx="35">
                  <c:v>2.0833333333333259E-3</c:v>
                </c:pt>
                <c:pt idx="36">
                  <c:v>5.5555555555555358E-3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E-4F50-B21A-C0C8780CC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3261816"/>
        <c:axId val="753259296"/>
      </c:barChart>
      <c:catAx>
        <c:axId val="75326181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3259296"/>
        <c:crosses val="autoZero"/>
        <c:auto val="1"/>
        <c:lblAlgn val="ctr"/>
        <c:lblOffset val="100"/>
        <c:noMultiLvlLbl val="0"/>
      </c:catAx>
      <c:valAx>
        <c:axId val="75325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3261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 занятости операторов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shade val="76000"/>
                </a:schemeClr>
              </a:solidFill>
              <a:ln w="9525">
                <a:solidFill>
                  <a:schemeClr val="accent3">
                    <a:shade val="76000"/>
                  </a:schemeClr>
                </a:solidFill>
              </a:ln>
              <a:effectLst/>
            </c:spPr>
          </c:marker>
          <c:xVal>
            <c:strRef>
              <c:f>модель!$M$20:$M$60</c:f>
              <c:strCache>
                <c:ptCount val="37"/>
                <c:pt idx="0">
                  <c:v>9:01</c:v>
                </c:pt>
                <c:pt idx="1">
                  <c:v>9:04</c:v>
                </c:pt>
                <c:pt idx="2">
                  <c:v>9:07</c:v>
                </c:pt>
                <c:pt idx="3">
                  <c:v>9:08</c:v>
                </c:pt>
                <c:pt idx="4">
                  <c:v>9:11</c:v>
                </c:pt>
                <c:pt idx="5">
                  <c:v>9:14</c:v>
                </c:pt>
                <c:pt idx="6">
                  <c:v>9:19</c:v>
                </c:pt>
                <c:pt idx="7">
                  <c:v>9:22</c:v>
                </c:pt>
                <c:pt idx="8">
                  <c:v>9:23</c:v>
                </c:pt>
                <c:pt idx="9">
                  <c:v>9:24</c:v>
                </c:pt>
                <c:pt idx="10">
                  <c:v>9:34</c:v>
                </c:pt>
                <c:pt idx="11">
                  <c:v>9:35</c:v>
                </c:pt>
                <c:pt idx="12">
                  <c:v>9:36</c:v>
                </c:pt>
                <c:pt idx="13">
                  <c:v>9:46</c:v>
                </c:pt>
                <c:pt idx="14">
                  <c:v>9:56</c:v>
                </c:pt>
                <c:pt idx="15">
                  <c:v>9:57</c:v>
                </c:pt>
                <c:pt idx="16">
                  <c:v>9:58</c:v>
                </c:pt>
                <c:pt idx="17">
                  <c:v>10:08</c:v>
                </c:pt>
                <c:pt idx="18">
                  <c:v>10:09</c:v>
                </c:pt>
                <c:pt idx="19">
                  <c:v>10:10</c:v>
                </c:pt>
                <c:pt idx="20">
                  <c:v>10:13</c:v>
                </c:pt>
                <c:pt idx="21">
                  <c:v>10:16</c:v>
                </c:pt>
                <c:pt idx="22">
                  <c:v>10:17</c:v>
                </c:pt>
                <c:pt idx="23">
                  <c:v>10:20</c:v>
                </c:pt>
                <c:pt idx="24">
                  <c:v>10:23</c:v>
                </c:pt>
                <c:pt idx="25">
                  <c:v>10:24</c:v>
                </c:pt>
                <c:pt idx="26">
                  <c:v>10:25</c:v>
                </c:pt>
                <c:pt idx="27">
                  <c:v>10:26</c:v>
                </c:pt>
                <c:pt idx="28">
                  <c:v>10:28</c:v>
                </c:pt>
                <c:pt idx="29">
                  <c:v>10:31</c:v>
                </c:pt>
                <c:pt idx="30">
                  <c:v>10:31</c:v>
                </c:pt>
                <c:pt idx="31">
                  <c:v>10:33</c:v>
                </c:pt>
                <c:pt idx="32">
                  <c:v>10:35</c:v>
                </c:pt>
                <c:pt idx="33">
                  <c:v>10:43</c:v>
                </c:pt>
                <c:pt idx="34">
                  <c:v>10:46</c:v>
                </c:pt>
                <c:pt idx="35">
                  <c:v>10:47</c:v>
                </c:pt>
                <c:pt idx="36">
                  <c:v>10:50</c:v>
                </c:pt>
              </c:strCache>
            </c:strRef>
          </c:xVal>
          <c:yVal>
            <c:numRef>
              <c:f>модель!$N$20:$N$59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3</c:v>
                </c:pt>
                <c:pt idx="29">
                  <c:v>0</c:v>
                </c:pt>
                <c:pt idx="30">
                  <c:v>2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B-487C-8172-8C06AFCA1E7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tint val="77000"/>
                </a:schemeClr>
              </a:solidFill>
              <a:ln w="9525">
                <a:solidFill>
                  <a:schemeClr val="accent3">
                    <a:tint val="77000"/>
                  </a:schemeClr>
                </a:solidFill>
              </a:ln>
              <a:effectLst/>
            </c:spPr>
          </c:marker>
          <c:xVal>
            <c:strRef>
              <c:f>модель!$Y$20:$Y$59</c:f>
              <c:strCache>
                <c:ptCount val="37"/>
                <c:pt idx="0">
                  <c:v>9:08</c:v>
                </c:pt>
                <c:pt idx="1">
                  <c:v>9:07</c:v>
                </c:pt>
                <c:pt idx="2">
                  <c:v>9:14</c:v>
                </c:pt>
                <c:pt idx="3">
                  <c:v>9:15</c:v>
                </c:pt>
                <c:pt idx="4">
                  <c:v>9:14</c:v>
                </c:pt>
                <c:pt idx="5">
                  <c:v>9:17</c:v>
                </c:pt>
                <c:pt idx="6">
                  <c:v>9:22</c:v>
                </c:pt>
                <c:pt idx="7">
                  <c:v>9:25</c:v>
                </c:pt>
                <c:pt idx="8">
                  <c:v>9:26</c:v>
                </c:pt>
                <c:pt idx="9">
                  <c:v>9:27</c:v>
                </c:pt>
                <c:pt idx="10">
                  <c:v>9:42</c:v>
                </c:pt>
                <c:pt idx="11">
                  <c:v>9:43</c:v>
                </c:pt>
                <c:pt idx="12">
                  <c:v>9:39</c:v>
                </c:pt>
                <c:pt idx="13">
                  <c:v>9:54</c:v>
                </c:pt>
                <c:pt idx="14">
                  <c:v>10:03</c:v>
                </c:pt>
                <c:pt idx="15">
                  <c:v>10:04</c:v>
                </c:pt>
                <c:pt idx="16">
                  <c:v>10:05</c:v>
                </c:pt>
                <c:pt idx="17">
                  <c:v>10:11</c:v>
                </c:pt>
                <c:pt idx="18">
                  <c:v>10:16</c:v>
                </c:pt>
                <c:pt idx="19">
                  <c:v>10:17</c:v>
                </c:pt>
                <c:pt idx="20">
                  <c:v>10:20</c:v>
                </c:pt>
                <c:pt idx="21">
                  <c:v>10:24</c:v>
                </c:pt>
                <c:pt idx="22">
                  <c:v>10:25</c:v>
                </c:pt>
                <c:pt idx="23">
                  <c:v>10:23</c:v>
                </c:pt>
                <c:pt idx="24">
                  <c:v>10:26</c:v>
                </c:pt>
                <c:pt idx="25">
                  <c:v>10:31</c:v>
                </c:pt>
                <c:pt idx="26">
                  <c:v>10:28</c:v>
                </c:pt>
                <c:pt idx="27">
                  <c:v>10:33</c:v>
                </c:pt>
                <c:pt idx="28">
                  <c:v>10:35</c:v>
                </c:pt>
                <c:pt idx="29">
                  <c:v>10:30</c:v>
                </c:pt>
                <c:pt idx="30">
                  <c:v>10:38</c:v>
                </c:pt>
                <c:pt idx="31">
                  <c:v>10:36</c:v>
                </c:pt>
                <c:pt idx="32">
                  <c:v>10:43</c:v>
                </c:pt>
                <c:pt idx="33">
                  <c:v>10:50</c:v>
                </c:pt>
                <c:pt idx="34">
                  <c:v>10:54</c:v>
                </c:pt>
                <c:pt idx="35">
                  <c:v>10:50</c:v>
                </c:pt>
                <c:pt idx="36">
                  <c:v>10:58</c:v>
                </c:pt>
              </c:strCache>
            </c:strRef>
          </c:xVal>
          <c:yVal>
            <c:numRef>
              <c:f>модель!$N$20:$N$59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3</c:v>
                </c:pt>
                <c:pt idx="29">
                  <c:v>0</c:v>
                </c:pt>
                <c:pt idx="30">
                  <c:v>2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3B-487C-8172-8C06AFCA1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870024"/>
        <c:axId val="744870384"/>
      </c:scatterChart>
      <c:valAx>
        <c:axId val="744870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870384"/>
        <c:crosses val="autoZero"/>
        <c:crossBetween val="midCat"/>
      </c:valAx>
      <c:valAx>
        <c:axId val="74487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870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Частотная диаграмма пребывания клиентов в системе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Частотная диаграмма пребывания клиентов в системе</a:t>
          </a:r>
        </a:p>
      </cx:txPr>
    </cx:title>
    <cx:plotArea>
      <cx:plotAreaRegion>
        <cx:series layoutId="clusteredColumn" uniqueId="{00000001-5C9E-4F6A-AB68-5BBC40A584CD}" formatIdx="1">
          <cx:tx>
            <cx:txData>
              <cx:f/>
              <cx:v>Частотная диаграмма пребывания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772003</xdr:colOff>
      <xdr:row>80</xdr:row>
      <xdr:rowOff>77949</xdr:rowOff>
    </xdr:from>
    <xdr:to>
      <xdr:col>17</xdr:col>
      <xdr:colOff>603458</xdr:colOff>
      <xdr:row>95</xdr:row>
      <xdr:rowOff>19306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8377C56-9AC2-4C09-8B09-1784ACD4E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500061</xdr:colOff>
      <xdr:row>62</xdr:row>
      <xdr:rowOff>384572</xdr:rowOff>
    </xdr:from>
    <xdr:to>
      <xdr:col>11</xdr:col>
      <xdr:colOff>333373</xdr:colOff>
      <xdr:row>77</xdr:row>
      <xdr:rowOff>145255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8AA9255-BF2F-1633-4BFD-E63CD2F70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476249</xdr:colOff>
      <xdr:row>79</xdr:row>
      <xdr:rowOff>15477</xdr:rowOff>
    </xdr:from>
    <xdr:to>
      <xdr:col>11</xdr:col>
      <xdr:colOff>309561</xdr:colOff>
      <xdr:row>94</xdr:row>
      <xdr:rowOff>79771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28A9EC2-1EE2-4AC8-9790-BF9FA4AC0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446483</xdr:colOff>
      <xdr:row>95</xdr:row>
      <xdr:rowOff>158352</xdr:rowOff>
    </xdr:from>
    <xdr:to>
      <xdr:col>11</xdr:col>
      <xdr:colOff>279795</xdr:colOff>
      <xdr:row>111</xdr:row>
      <xdr:rowOff>44052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B997FEF-E9A4-B125-797D-09D4C1C47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243661</xdr:colOff>
      <xdr:row>79</xdr:row>
      <xdr:rowOff>127339</xdr:rowOff>
    </xdr:from>
    <xdr:to>
      <xdr:col>25</xdr:col>
      <xdr:colOff>187715</xdr:colOff>
      <xdr:row>95</xdr:row>
      <xdr:rowOff>8886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6DE1364-4846-41E2-1A80-ADF2DF968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121829</xdr:colOff>
      <xdr:row>63</xdr:row>
      <xdr:rowOff>170673</xdr:rowOff>
    </xdr:from>
    <xdr:to>
      <xdr:col>27</xdr:col>
      <xdr:colOff>494524</xdr:colOff>
      <xdr:row>78</xdr:row>
      <xdr:rowOff>172666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Диаграмма 6">
              <a:extLst>
                <a:ext uri="{FF2B5EF4-FFF2-40B4-BE49-F238E27FC236}">
                  <a16:creationId xmlns:a16="http://schemas.microsoft.com/office/drawing/2014/main" id="{B39AA746-79FA-437F-CA49-11E5A7FE2A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07929" y="13270723"/>
              <a:ext cx="8011745" cy="27642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11</xdr:col>
      <xdr:colOff>732098</xdr:colOff>
      <xdr:row>63</xdr:row>
      <xdr:rowOff>12292</xdr:rowOff>
    </xdr:from>
    <xdr:to>
      <xdr:col>17</xdr:col>
      <xdr:colOff>566239</xdr:colOff>
      <xdr:row>78</xdr:row>
      <xdr:rowOff>14286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9E2BBA74-A7C8-C457-1A36-99BF4C866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13138</xdr:colOff>
      <xdr:row>0</xdr:row>
      <xdr:rowOff>105102</xdr:rowOff>
    </xdr:from>
    <xdr:to>
      <xdr:col>22</xdr:col>
      <xdr:colOff>487653</xdr:colOff>
      <xdr:row>44</xdr:row>
      <xdr:rowOff>85007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8" y="105102"/>
          <a:ext cx="13914618" cy="8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8"/>
  <sheetViews>
    <sheetView topLeftCell="A19" workbookViewId="0">
      <selection activeCell="B100" sqref="B100"/>
    </sheetView>
  </sheetViews>
  <sheetFormatPr defaultRowHeight="14.5" x14ac:dyDescent="0.35"/>
  <cols>
    <col min="4" max="4" width="12.36328125" customWidth="1"/>
    <col min="5" max="5" width="9.36328125" customWidth="1"/>
    <col min="10" max="12" width="10.7265625" bestFit="1" customWidth="1"/>
    <col min="15" max="20" width="6.7265625" customWidth="1"/>
    <col min="25" max="25" width="8.1796875" customWidth="1"/>
  </cols>
  <sheetData>
    <row r="1" spans="1:10" x14ac:dyDescent="0.35">
      <c r="A1" s="1" t="s">
        <v>0</v>
      </c>
      <c r="B1" t="s">
        <v>1</v>
      </c>
    </row>
    <row r="2" spans="1:10" x14ac:dyDescent="0.35">
      <c r="B2" s="2" t="s">
        <v>2</v>
      </c>
    </row>
    <row r="3" spans="1:10" x14ac:dyDescent="0.35">
      <c r="A3" s="3" t="s">
        <v>3</v>
      </c>
      <c r="B3" t="s">
        <v>4</v>
      </c>
    </row>
    <row r="4" spans="1:10" ht="15" thickBot="1" x14ac:dyDescent="0.4">
      <c r="A4" s="4" t="s">
        <v>5</v>
      </c>
      <c r="B4" s="5"/>
      <c r="C4" s="6" t="s">
        <v>6</v>
      </c>
      <c r="D4" s="7"/>
      <c r="E4" s="8" t="s">
        <v>7</v>
      </c>
      <c r="F4" s="9"/>
      <c r="G4" s="10"/>
      <c r="I4" s="2" t="s">
        <v>166</v>
      </c>
    </row>
    <row r="5" spans="1:10" x14ac:dyDescent="0.35">
      <c r="A5" s="11">
        <v>0.375</v>
      </c>
      <c r="B5" s="12"/>
      <c r="C5" s="13">
        <v>0.45833333333333331</v>
      </c>
      <c r="D5" s="14"/>
      <c r="E5" s="15">
        <v>2</v>
      </c>
      <c r="F5" s="16" t="s">
        <v>8</v>
      </c>
      <c r="G5" s="17"/>
      <c r="I5" s="88" t="s">
        <v>167</v>
      </c>
      <c r="J5" s="2" t="s">
        <v>168</v>
      </c>
    </row>
    <row r="6" spans="1:10" x14ac:dyDescent="0.35">
      <c r="A6" s="18" t="s">
        <v>9</v>
      </c>
      <c r="B6" s="18"/>
      <c r="C6" s="18" t="s">
        <v>10</v>
      </c>
      <c r="D6" s="18"/>
      <c r="E6" s="18" t="s">
        <v>11</v>
      </c>
      <c r="G6" t="s">
        <v>165</v>
      </c>
    </row>
    <row r="7" spans="1:10" x14ac:dyDescent="0.35">
      <c r="B7" s="101" t="s">
        <v>12</v>
      </c>
      <c r="C7" s="19"/>
      <c r="D7" s="19"/>
      <c r="E7" s="19"/>
      <c r="F7" s="20" t="s">
        <v>159</v>
      </c>
      <c r="G7" s="19" t="s">
        <v>160</v>
      </c>
      <c r="H7" s="19"/>
      <c r="I7" s="19"/>
      <c r="J7" s="3"/>
    </row>
    <row r="8" spans="1:10" x14ac:dyDescent="0.35">
      <c r="B8" s="20" t="s">
        <v>13</v>
      </c>
      <c r="C8" s="19" t="s">
        <v>14</v>
      </c>
      <c r="D8" s="19"/>
      <c r="E8" s="19"/>
      <c r="F8" s="20" t="s">
        <v>161</v>
      </c>
      <c r="G8" s="19" t="s">
        <v>162</v>
      </c>
      <c r="H8" s="19"/>
      <c r="I8" s="19"/>
      <c r="J8" s="21"/>
    </row>
    <row r="9" spans="1:10" x14ac:dyDescent="0.35">
      <c r="A9" s="21"/>
      <c r="B9" s="20" t="s">
        <v>15</v>
      </c>
      <c r="C9" s="19" t="s">
        <v>16</v>
      </c>
      <c r="D9" s="19"/>
      <c r="E9" s="19"/>
      <c r="F9" s="20" t="s">
        <v>163</v>
      </c>
      <c r="G9" s="19" t="s">
        <v>164</v>
      </c>
      <c r="H9" s="19"/>
      <c r="I9" s="19"/>
      <c r="J9" s="21"/>
    </row>
    <row r="10" spans="1:10" ht="15" thickBot="1" x14ac:dyDescent="0.4">
      <c r="A10" s="3" t="s">
        <v>17</v>
      </c>
      <c r="B10" t="s">
        <v>18</v>
      </c>
      <c r="J10" s="21"/>
    </row>
    <row r="11" spans="1:10" x14ac:dyDescent="0.35">
      <c r="A11" s="137" t="s">
        <v>19</v>
      </c>
      <c r="B11" s="22" t="s">
        <v>20</v>
      </c>
      <c r="C11" s="22" t="s">
        <v>21</v>
      </c>
      <c r="D11" s="23" t="s">
        <v>22</v>
      </c>
      <c r="J11" s="21"/>
    </row>
    <row r="12" spans="1:10" x14ac:dyDescent="0.35">
      <c r="A12" s="138"/>
      <c r="B12" s="24" t="s">
        <v>23</v>
      </c>
      <c r="C12" s="24" t="s">
        <v>23</v>
      </c>
      <c r="D12" s="25" t="s">
        <v>24</v>
      </c>
      <c r="J12" s="21"/>
    </row>
    <row r="13" spans="1:10" ht="15" thickBot="1" x14ac:dyDescent="0.4">
      <c r="A13" s="139"/>
      <c r="B13" s="26"/>
      <c r="C13" s="26"/>
      <c r="D13" s="27" t="s">
        <v>25</v>
      </c>
      <c r="J13" s="21"/>
    </row>
    <row r="14" spans="1:10" x14ac:dyDescent="0.35">
      <c r="A14" s="28">
        <v>0.45</v>
      </c>
      <c r="B14" s="89">
        <v>0</v>
      </c>
      <c r="C14" s="90">
        <f>B14+A14</f>
        <v>0.45</v>
      </c>
      <c r="D14" s="91">
        <v>1</v>
      </c>
      <c r="J14" s="21"/>
    </row>
    <row r="15" spans="1:10" x14ac:dyDescent="0.35">
      <c r="A15" s="28">
        <v>0.25</v>
      </c>
      <c r="B15" s="89">
        <f>C14</f>
        <v>0.45</v>
      </c>
      <c r="C15" s="90">
        <f>B15+A15</f>
        <v>0.7</v>
      </c>
      <c r="D15" s="91">
        <v>3</v>
      </c>
      <c r="J15" s="21"/>
    </row>
    <row r="16" spans="1:10" x14ac:dyDescent="0.35">
      <c r="A16" s="28">
        <v>0.1</v>
      </c>
      <c r="B16" s="89">
        <f>C15</f>
        <v>0.7</v>
      </c>
      <c r="C16" s="90">
        <f>B16+A16</f>
        <v>0.79999999999999993</v>
      </c>
      <c r="D16" s="91">
        <v>5</v>
      </c>
    </row>
    <row r="17" spans="1:26" ht="15" thickBot="1" x14ac:dyDescent="0.4">
      <c r="A17" s="31">
        <v>0.2</v>
      </c>
      <c r="B17" s="92">
        <f>C16</f>
        <v>0.79999999999999993</v>
      </c>
      <c r="C17" s="93">
        <f>B17+A17</f>
        <v>1</v>
      </c>
      <c r="D17" s="94">
        <v>10</v>
      </c>
    </row>
    <row r="18" spans="1:26" ht="15" thickBot="1" x14ac:dyDescent="0.4">
      <c r="A18" s="3" t="s">
        <v>26</v>
      </c>
      <c r="B18" t="s">
        <v>27</v>
      </c>
      <c r="C18" s="30"/>
      <c r="D18" s="29"/>
    </row>
    <row r="19" spans="1:26" x14ac:dyDescent="0.35">
      <c r="A19" s="137" t="s">
        <v>19</v>
      </c>
      <c r="B19" s="22" t="s">
        <v>20</v>
      </c>
      <c r="C19" s="22" t="s">
        <v>21</v>
      </c>
      <c r="D19" s="23" t="s">
        <v>22</v>
      </c>
    </row>
    <row r="20" spans="1:26" x14ac:dyDescent="0.35">
      <c r="A20" s="140"/>
      <c r="B20" s="24" t="s">
        <v>23</v>
      </c>
      <c r="C20" s="24" t="s">
        <v>23</v>
      </c>
      <c r="D20" s="25" t="s">
        <v>28</v>
      </c>
    </row>
    <row r="21" spans="1:26" ht="15" thickBot="1" x14ac:dyDescent="0.4">
      <c r="A21" s="141"/>
      <c r="B21" s="26"/>
      <c r="C21" s="26"/>
      <c r="D21" s="27" t="s">
        <v>25</v>
      </c>
    </row>
    <row r="22" spans="1:26" x14ac:dyDescent="0.35">
      <c r="A22" s="28">
        <v>0.3</v>
      </c>
      <c r="B22" s="95">
        <v>0</v>
      </c>
      <c r="C22" s="96">
        <f>B22+A22</f>
        <v>0.3</v>
      </c>
      <c r="D22" s="97">
        <v>3</v>
      </c>
    </row>
    <row r="23" spans="1:26" x14ac:dyDescent="0.35">
      <c r="A23" s="28">
        <v>0.35</v>
      </c>
      <c r="B23" s="95">
        <f>C22</f>
        <v>0.3</v>
      </c>
      <c r="C23" s="96">
        <f>B23+A23</f>
        <v>0.64999999999999991</v>
      </c>
      <c r="D23" s="97">
        <v>7</v>
      </c>
    </row>
    <row r="24" spans="1:26" ht="15" thickBot="1" x14ac:dyDescent="0.4">
      <c r="A24" s="31">
        <v>0.35</v>
      </c>
      <c r="B24" s="98">
        <f>C23</f>
        <v>0.64999999999999991</v>
      </c>
      <c r="C24" s="99">
        <f>B24+A24</f>
        <v>0.99999999999999989</v>
      </c>
      <c r="D24" s="100">
        <v>8</v>
      </c>
    </row>
    <row r="25" spans="1:26" x14ac:dyDescent="0.35">
      <c r="A25" s="1" t="s">
        <v>29</v>
      </c>
      <c r="B25" t="s">
        <v>30</v>
      </c>
    </row>
    <row r="26" spans="1:26" x14ac:dyDescent="0.35">
      <c r="A26" s="32"/>
      <c r="B26" s="33" t="s">
        <v>31</v>
      </c>
      <c r="C26" s="34"/>
      <c r="D26" s="35" t="s">
        <v>32</v>
      </c>
      <c r="E26" s="78"/>
      <c r="F26" s="36" t="s">
        <v>33</v>
      </c>
      <c r="G26" s="37" t="s">
        <v>34</v>
      </c>
      <c r="H26" s="38"/>
      <c r="I26" s="39" t="s">
        <v>31</v>
      </c>
      <c r="J26" s="71" t="s">
        <v>35</v>
      </c>
      <c r="K26" s="71" t="s">
        <v>36</v>
      </c>
      <c r="L26" s="71" t="s">
        <v>37</v>
      </c>
      <c r="M26" s="40" t="s">
        <v>38</v>
      </c>
      <c r="N26" s="41"/>
      <c r="O26" s="74"/>
      <c r="P26" s="74"/>
      <c r="Q26" s="74"/>
      <c r="R26" s="74"/>
      <c r="S26" s="74"/>
      <c r="T26" s="74"/>
      <c r="U26" s="42"/>
      <c r="V26" s="43"/>
      <c r="W26" s="44"/>
      <c r="X26" s="45" t="s">
        <v>31</v>
      </c>
      <c r="Y26" s="46" t="s">
        <v>39</v>
      </c>
      <c r="Z26" s="47" t="s">
        <v>40</v>
      </c>
    </row>
    <row r="27" spans="1:26" x14ac:dyDescent="0.35">
      <c r="A27" s="81" t="s">
        <v>41</v>
      </c>
      <c r="B27" s="33" t="s">
        <v>24</v>
      </c>
      <c r="C27" s="48" t="s">
        <v>22</v>
      </c>
      <c r="D27" s="35" t="s">
        <v>42</v>
      </c>
      <c r="E27" s="79" t="s">
        <v>22</v>
      </c>
      <c r="F27" s="49" t="s">
        <v>43</v>
      </c>
      <c r="G27" s="50" t="s">
        <v>43</v>
      </c>
      <c r="H27" s="51" t="s">
        <v>44</v>
      </c>
      <c r="I27" s="52" t="s">
        <v>45</v>
      </c>
      <c r="J27" s="72" t="s">
        <v>46</v>
      </c>
      <c r="K27" s="72" t="s">
        <v>46</v>
      </c>
      <c r="L27" s="72" t="s">
        <v>46</v>
      </c>
      <c r="M27" s="40" t="s">
        <v>31</v>
      </c>
      <c r="N27" s="41" t="s">
        <v>47</v>
      </c>
      <c r="O27" s="75" t="s">
        <v>48</v>
      </c>
      <c r="P27" s="75"/>
      <c r="Q27" s="75" t="s">
        <v>49</v>
      </c>
      <c r="R27" s="75"/>
      <c r="S27" s="75" t="s">
        <v>50</v>
      </c>
      <c r="T27" s="75"/>
      <c r="U27" s="85" t="s">
        <v>51</v>
      </c>
      <c r="V27" s="86" t="s">
        <v>51</v>
      </c>
      <c r="W27" s="49" t="s">
        <v>52</v>
      </c>
      <c r="X27" s="53" t="s">
        <v>53</v>
      </c>
      <c r="Y27" s="54" t="s">
        <v>31</v>
      </c>
      <c r="Z27" s="55" t="s">
        <v>54</v>
      </c>
    </row>
    <row r="28" spans="1:26" x14ac:dyDescent="0.35">
      <c r="A28" s="82" t="s">
        <v>55</v>
      </c>
      <c r="B28" s="33" t="s">
        <v>56</v>
      </c>
      <c r="C28" s="48" t="s">
        <v>57</v>
      </c>
      <c r="D28" s="35" t="s">
        <v>58</v>
      </c>
      <c r="E28" s="79" t="s">
        <v>53</v>
      </c>
      <c r="F28" s="49" t="s">
        <v>24</v>
      </c>
      <c r="G28" s="50" t="s">
        <v>59</v>
      </c>
      <c r="H28" s="51" t="s">
        <v>60</v>
      </c>
      <c r="I28" s="52" t="s">
        <v>54</v>
      </c>
      <c r="J28" s="72" t="s">
        <v>42</v>
      </c>
      <c r="K28" s="72" t="s">
        <v>42</v>
      </c>
      <c r="L28" s="72" t="s">
        <v>42</v>
      </c>
      <c r="M28" s="40" t="s">
        <v>61</v>
      </c>
      <c r="N28" s="41" t="s">
        <v>62</v>
      </c>
      <c r="O28" s="76" t="s">
        <v>63</v>
      </c>
      <c r="P28" s="76" t="s">
        <v>64</v>
      </c>
      <c r="Q28" s="76" t="s">
        <v>63</v>
      </c>
      <c r="R28" s="76" t="s">
        <v>64</v>
      </c>
      <c r="S28" s="76" t="s">
        <v>63</v>
      </c>
      <c r="T28" s="76" t="s">
        <v>64</v>
      </c>
      <c r="U28" s="84" t="s">
        <v>54</v>
      </c>
      <c r="V28" s="83" t="s">
        <v>122</v>
      </c>
      <c r="W28" s="49" t="s">
        <v>65</v>
      </c>
      <c r="X28" s="53" t="s">
        <v>66</v>
      </c>
      <c r="Y28" s="54" t="s">
        <v>67</v>
      </c>
      <c r="Z28" s="56" t="s">
        <v>68</v>
      </c>
    </row>
    <row r="29" spans="1:26" ht="15" thickBot="1" x14ac:dyDescent="0.4">
      <c r="A29" s="57"/>
      <c r="B29" s="33" t="s">
        <v>25</v>
      </c>
      <c r="C29" s="58" t="s">
        <v>69</v>
      </c>
      <c r="D29" s="35" t="s">
        <v>25</v>
      </c>
      <c r="E29" s="80" t="s">
        <v>66</v>
      </c>
      <c r="F29" s="59" t="s">
        <v>70</v>
      </c>
      <c r="G29" s="60" t="s">
        <v>70</v>
      </c>
      <c r="H29" s="61" t="s">
        <v>71</v>
      </c>
      <c r="I29" s="62" t="s">
        <v>70</v>
      </c>
      <c r="J29" s="73" t="s">
        <v>70</v>
      </c>
      <c r="K29" s="73" t="s">
        <v>70</v>
      </c>
      <c r="L29" s="73" t="s">
        <v>70</v>
      </c>
      <c r="M29" s="63" t="s">
        <v>70</v>
      </c>
      <c r="N29" s="41"/>
      <c r="O29" s="77" t="s">
        <v>70</v>
      </c>
      <c r="P29" s="77" t="s">
        <v>70</v>
      </c>
      <c r="Q29" s="77" t="s">
        <v>70</v>
      </c>
      <c r="R29" s="77" t="s">
        <v>70</v>
      </c>
      <c r="S29" s="77" t="s">
        <v>70</v>
      </c>
      <c r="T29" s="77" t="s">
        <v>70</v>
      </c>
      <c r="U29" s="64" t="s">
        <v>70</v>
      </c>
      <c r="V29" s="65" t="s">
        <v>70</v>
      </c>
      <c r="W29" s="59" t="s">
        <v>70</v>
      </c>
      <c r="X29" s="66" t="s">
        <v>72</v>
      </c>
      <c r="Y29" s="67"/>
      <c r="Z29" s="68" t="s">
        <v>73</v>
      </c>
    </row>
    <row r="30" spans="1:26" x14ac:dyDescent="0.35">
      <c r="A30" s="102" t="s">
        <v>74</v>
      </c>
      <c r="B30" t="s">
        <v>169</v>
      </c>
    </row>
    <row r="31" spans="1:26" x14ac:dyDescent="0.35">
      <c r="B31" t="s">
        <v>75</v>
      </c>
    </row>
    <row r="32" spans="1:26" x14ac:dyDescent="0.35">
      <c r="B32" t="s">
        <v>76</v>
      </c>
    </row>
    <row r="33" spans="1:2" x14ac:dyDescent="0.35">
      <c r="A33" s="1"/>
      <c r="B33" t="s">
        <v>170</v>
      </c>
    </row>
    <row r="34" spans="1:2" x14ac:dyDescent="0.35">
      <c r="B34" t="s">
        <v>78</v>
      </c>
    </row>
    <row r="35" spans="1:2" x14ac:dyDescent="0.35">
      <c r="A35" s="102" t="s">
        <v>179</v>
      </c>
      <c r="B35" t="s">
        <v>127</v>
      </c>
    </row>
    <row r="36" spans="1:2" x14ac:dyDescent="0.35">
      <c r="B36" t="s">
        <v>80</v>
      </c>
    </row>
    <row r="37" spans="1:2" x14ac:dyDescent="0.35">
      <c r="A37" s="102" t="s">
        <v>77</v>
      </c>
      <c r="B37" t="s">
        <v>171</v>
      </c>
    </row>
    <row r="38" spans="1:2" x14ac:dyDescent="0.35">
      <c r="B38" t="s">
        <v>82</v>
      </c>
    </row>
    <row r="39" spans="1:2" x14ac:dyDescent="0.35">
      <c r="A39" s="102" t="s">
        <v>79</v>
      </c>
      <c r="B39" t="s">
        <v>128</v>
      </c>
    </row>
    <row r="40" spans="1:2" x14ac:dyDescent="0.35">
      <c r="B40" t="s">
        <v>84</v>
      </c>
    </row>
    <row r="41" spans="1:2" x14ac:dyDescent="0.35">
      <c r="A41" s="102" t="s">
        <v>81</v>
      </c>
      <c r="B41" t="s">
        <v>172</v>
      </c>
    </row>
    <row r="42" spans="1:2" x14ac:dyDescent="0.35">
      <c r="B42" t="s">
        <v>86</v>
      </c>
    </row>
    <row r="43" spans="1:2" x14ac:dyDescent="0.35">
      <c r="A43" s="102" t="s">
        <v>83</v>
      </c>
      <c r="B43" t="s">
        <v>88</v>
      </c>
    </row>
    <row r="44" spans="1:2" x14ac:dyDescent="0.35">
      <c r="B44" t="s">
        <v>89</v>
      </c>
    </row>
    <row r="45" spans="1:2" x14ac:dyDescent="0.35">
      <c r="A45" s="102" t="s">
        <v>85</v>
      </c>
      <c r="B45" t="s">
        <v>129</v>
      </c>
    </row>
    <row r="46" spans="1:2" x14ac:dyDescent="0.35">
      <c r="B46" t="s">
        <v>91</v>
      </c>
    </row>
    <row r="47" spans="1:2" x14ac:dyDescent="0.35">
      <c r="A47" s="102" t="s">
        <v>87</v>
      </c>
      <c r="B47" t="s">
        <v>130</v>
      </c>
    </row>
    <row r="48" spans="1:2" x14ac:dyDescent="0.35">
      <c r="B48" t="s">
        <v>93</v>
      </c>
    </row>
    <row r="49" spans="1:2" x14ac:dyDescent="0.35">
      <c r="A49" s="102" t="s">
        <v>90</v>
      </c>
      <c r="B49" t="s">
        <v>180</v>
      </c>
    </row>
    <row r="50" spans="1:2" x14ac:dyDescent="0.35">
      <c r="B50" t="s">
        <v>181</v>
      </c>
    </row>
    <row r="51" spans="1:2" x14ac:dyDescent="0.35">
      <c r="A51" s="102" t="s">
        <v>92</v>
      </c>
      <c r="B51" t="s">
        <v>131</v>
      </c>
    </row>
    <row r="52" spans="1:2" x14ac:dyDescent="0.35">
      <c r="B52" t="s">
        <v>96</v>
      </c>
    </row>
    <row r="53" spans="1:2" x14ac:dyDescent="0.35">
      <c r="A53" s="102" t="s">
        <v>94</v>
      </c>
      <c r="B53" t="s">
        <v>98</v>
      </c>
    </row>
    <row r="54" spans="1:2" x14ac:dyDescent="0.35">
      <c r="A54" s="1"/>
      <c r="B54" t="s">
        <v>99</v>
      </c>
    </row>
    <row r="55" spans="1:2" x14ac:dyDescent="0.35">
      <c r="B55" t="s">
        <v>132</v>
      </c>
    </row>
    <row r="56" spans="1:2" x14ac:dyDescent="0.35">
      <c r="A56" s="1"/>
      <c r="B56" t="s">
        <v>101</v>
      </c>
    </row>
    <row r="57" spans="1:2" x14ac:dyDescent="0.35">
      <c r="A57" s="102" t="s">
        <v>95</v>
      </c>
      <c r="B57" t="s">
        <v>103</v>
      </c>
    </row>
    <row r="58" spans="1:2" x14ac:dyDescent="0.35">
      <c r="B58" t="s">
        <v>104</v>
      </c>
    </row>
    <row r="59" spans="1:2" x14ac:dyDescent="0.35">
      <c r="B59" t="s">
        <v>133</v>
      </c>
    </row>
    <row r="60" spans="1:2" x14ac:dyDescent="0.35">
      <c r="B60" t="s">
        <v>105</v>
      </c>
    </row>
    <row r="61" spans="1:2" x14ac:dyDescent="0.35">
      <c r="A61" s="102" t="s">
        <v>97</v>
      </c>
      <c r="B61" t="s">
        <v>106</v>
      </c>
    </row>
    <row r="62" spans="1:2" x14ac:dyDescent="0.35">
      <c r="B62" t="s">
        <v>107</v>
      </c>
    </row>
    <row r="63" spans="1:2" x14ac:dyDescent="0.35">
      <c r="A63" s="1"/>
      <c r="B63" t="s">
        <v>134</v>
      </c>
    </row>
    <row r="64" spans="1:2" x14ac:dyDescent="0.35">
      <c r="B64" t="s">
        <v>108</v>
      </c>
    </row>
    <row r="65" spans="1:26" x14ac:dyDescent="0.35">
      <c r="A65" s="102" t="s">
        <v>100</v>
      </c>
      <c r="B65" t="s">
        <v>135</v>
      </c>
    </row>
    <row r="66" spans="1:26" x14ac:dyDescent="0.35">
      <c r="B66" t="s">
        <v>109</v>
      </c>
    </row>
    <row r="67" spans="1:26" x14ac:dyDescent="0.35">
      <c r="A67" s="102" t="s">
        <v>102</v>
      </c>
      <c r="B67" t="s">
        <v>136</v>
      </c>
    </row>
    <row r="68" spans="1:26" x14ac:dyDescent="0.35">
      <c r="B68" t="s">
        <v>110</v>
      </c>
    </row>
    <row r="69" spans="1:26" x14ac:dyDescent="0.35">
      <c r="A69" s="102" t="s">
        <v>185</v>
      </c>
      <c r="B69" t="s">
        <v>137</v>
      </c>
    </row>
    <row r="70" spans="1:26" x14ac:dyDescent="0.35">
      <c r="B70" t="s">
        <v>111</v>
      </c>
    </row>
    <row r="71" spans="1:26" x14ac:dyDescent="0.35">
      <c r="A71" s="102" t="s">
        <v>186</v>
      </c>
      <c r="B71" t="s">
        <v>138</v>
      </c>
    </row>
    <row r="72" spans="1:26" x14ac:dyDescent="0.35">
      <c r="B72" t="s">
        <v>112</v>
      </c>
    </row>
    <row r="73" spans="1:26" x14ac:dyDescent="0.35">
      <c r="A73" s="102" t="s">
        <v>187</v>
      </c>
      <c r="B73" t="s">
        <v>139</v>
      </c>
    </row>
    <row r="74" spans="1:26" x14ac:dyDescent="0.35">
      <c r="B74" t="s">
        <v>113</v>
      </c>
    </row>
    <row r="75" spans="1:26" x14ac:dyDescent="0.35">
      <c r="A75" s="102" t="s">
        <v>188</v>
      </c>
      <c r="B75" t="s">
        <v>140</v>
      </c>
    </row>
    <row r="76" spans="1:26" x14ac:dyDescent="0.35">
      <c r="B76" t="s">
        <v>114</v>
      </c>
    </row>
    <row r="77" spans="1:26" x14ac:dyDescent="0.35">
      <c r="A77" s="102" t="s">
        <v>189</v>
      </c>
      <c r="B77" t="s">
        <v>141</v>
      </c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x14ac:dyDescent="0.35">
      <c r="A78" s="69" t="str">
        <f t="shared" ref="A78" si="0">IF($N78=3,#REF!,"")</f>
        <v/>
      </c>
      <c r="B78" t="s">
        <v>115</v>
      </c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x14ac:dyDescent="0.35">
      <c r="A79" s="102" t="s">
        <v>190</v>
      </c>
      <c r="B79" t="s">
        <v>142</v>
      </c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x14ac:dyDescent="0.35">
      <c r="A80" s="69"/>
      <c r="B80" t="s">
        <v>116</v>
      </c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x14ac:dyDescent="0.35">
      <c r="A81" s="102" t="s">
        <v>191</v>
      </c>
      <c r="B81" t="s">
        <v>143</v>
      </c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x14ac:dyDescent="0.35">
      <c r="A82" s="69"/>
      <c r="B82" t="s">
        <v>121</v>
      </c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x14ac:dyDescent="0.35">
      <c r="A83" s="102" t="s">
        <v>192</v>
      </c>
      <c r="B83" t="s">
        <v>144</v>
      </c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x14ac:dyDescent="0.35">
      <c r="A84" s="69"/>
      <c r="B84" t="s">
        <v>123</v>
      </c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x14ac:dyDescent="0.35">
      <c r="A85" s="102" t="s">
        <v>193</v>
      </c>
      <c r="B85" t="s">
        <v>145</v>
      </c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x14ac:dyDescent="0.35">
      <c r="A86" s="69"/>
      <c r="B86" t="s">
        <v>124</v>
      </c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x14ac:dyDescent="0.35">
      <c r="A87" s="102" t="s">
        <v>194</v>
      </c>
      <c r="B87" t="s">
        <v>146</v>
      </c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x14ac:dyDescent="0.35">
      <c r="A88" s="69"/>
      <c r="B88" t="s">
        <v>125</v>
      </c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x14ac:dyDescent="0.35">
      <c r="A89" s="102" t="s">
        <v>195</v>
      </c>
      <c r="B89" t="s">
        <v>147</v>
      </c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x14ac:dyDescent="0.35">
      <c r="A90" s="69"/>
      <c r="B90" t="s">
        <v>126</v>
      </c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x14ac:dyDescent="0.35">
      <c r="A91" s="102" t="s">
        <v>196</v>
      </c>
      <c r="B91" t="s">
        <v>148</v>
      </c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x14ac:dyDescent="0.35">
      <c r="A92" s="69"/>
      <c r="B92" t="s">
        <v>120</v>
      </c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x14ac:dyDescent="0.35">
      <c r="A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x14ac:dyDescent="0.35">
      <c r="A94" s="102" t="s">
        <v>197</v>
      </c>
      <c r="B94" t="s">
        <v>117</v>
      </c>
      <c r="G94" s="87" t="s">
        <v>150</v>
      </c>
      <c r="I94" t="s">
        <v>152</v>
      </c>
      <c r="J94" s="70"/>
    </row>
    <row r="95" spans="1:26" x14ac:dyDescent="0.35">
      <c r="B95" t="s">
        <v>149</v>
      </c>
      <c r="G95" s="87" t="s">
        <v>151</v>
      </c>
      <c r="I95" t="s">
        <v>153</v>
      </c>
    </row>
    <row r="96" spans="1:26" x14ac:dyDescent="0.35">
      <c r="B96" t="s">
        <v>154</v>
      </c>
      <c r="I96" t="s">
        <v>158</v>
      </c>
    </row>
    <row r="97" spans="1:9" x14ac:dyDescent="0.35">
      <c r="B97" t="s">
        <v>155</v>
      </c>
      <c r="G97" s="87" t="s">
        <v>156</v>
      </c>
      <c r="I97" t="s">
        <v>157</v>
      </c>
    </row>
    <row r="98" spans="1:9" x14ac:dyDescent="0.35">
      <c r="B98" t="s">
        <v>175</v>
      </c>
      <c r="G98" s="87" t="s">
        <v>176</v>
      </c>
    </row>
    <row r="99" spans="1:9" x14ac:dyDescent="0.35">
      <c r="A99" s="102" t="s">
        <v>198</v>
      </c>
      <c r="B99" t="s">
        <v>174</v>
      </c>
    </row>
    <row r="100" spans="1:9" x14ac:dyDescent="0.35">
      <c r="A100" s="102" t="s">
        <v>199</v>
      </c>
      <c r="B100" t="s">
        <v>178</v>
      </c>
    </row>
    <row r="101" spans="1:9" x14ac:dyDescent="0.35">
      <c r="B101" t="s">
        <v>177</v>
      </c>
    </row>
    <row r="102" spans="1:9" x14ac:dyDescent="0.35">
      <c r="A102" s="102" t="s">
        <v>200</v>
      </c>
      <c r="B102" t="s">
        <v>182</v>
      </c>
    </row>
    <row r="103" spans="1:9" x14ac:dyDescent="0.35">
      <c r="A103" s="102" t="s">
        <v>201</v>
      </c>
      <c r="B103" t="s">
        <v>183</v>
      </c>
    </row>
    <row r="104" spans="1:9" x14ac:dyDescent="0.35">
      <c r="A104" s="102" t="s">
        <v>202</v>
      </c>
      <c r="B104" t="s">
        <v>118</v>
      </c>
    </row>
    <row r="105" spans="1:9" x14ac:dyDescent="0.35">
      <c r="A105" s="102"/>
      <c r="B105" t="s">
        <v>119</v>
      </c>
    </row>
    <row r="106" spans="1:9" x14ac:dyDescent="0.35">
      <c r="B106" s="2" t="s">
        <v>173</v>
      </c>
    </row>
    <row r="107" spans="1:9" x14ac:dyDescent="0.35">
      <c r="A107" s="102" t="s">
        <v>203</v>
      </c>
      <c r="B107" t="s">
        <v>184</v>
      </c>
    </row>
    <row r="108" spans="1:9" x14ac:dyDescent="0.35">
      <c r="A108" s="1"/>
    </row>
  </sheetData>
  <sheetProtection sheet="1" objects="1" scenarios="1"/>
  <mergeCells count="2">
    <mergeCell ref="A11:A13"/>
    <mergeCell ref="A19:A21"/>
  </mergeCells>
  <pageMargins left="0.7" right="0.7" top="0.75" bottom="0.75" header="0.3" footer="0.3"/>
  <pageSetup paperSize="9" orientation="portrait" r:id="rId1"/>
  <ignoredErrors>
    <ignoredError sqref="B15:B17 B23:B2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9DF4-E1AC-4D69-B0C7-7E1F6F13B222}">
  <dimension ref="A1:Z63"/>
  <sheetViews>
    <sheetView tabSelected="1" topLeftCell="C19" zoomScale="60" zoomScaleNormal="60" workbookViewId="0">
      <selection activeCell="AE49" sqref="AE49"/>
    </sheetView>
  </sheetViews>
  <sheetFormatPr defaultRowHeight="14.5" x14ac:dyDescent="0.35"/>
  <cols>
    <col min="1" max="1" width="12.81640625" customWidth="1"/>
    <col min="2" max="2" width="12.36328125" customWidth="1"/>
    <col min="3" max="3" width="11.54296875" customWidth="1"/>
    <col min="4" max="4" width="16.81640625" customWidth="1"/>
    <col min="5" max="5" width="16" customWidth="1"/>
    <col min="6" max="6" width="14" customWidth="1"/>
    <col min="7" max="7" width="11.7265625" customWidth="1"/>
    <col min="8" max="8" width="12.36328125" customWidth="1"/>
    <col min="9" max="9" width="12.81640625" customWidth="1"/>
    <col min="10" max="10" width="15.81640625" customWidth="1"/>
    <col min="11" max="11" width="15.54296875" customWidth="1"/>
    <col min="12" max="12" width="15.26953125" customWidth="1"/>
    <col min="13" max="13" width="13" customWidth="1"/>
    <col min="14" max="14" width="11" customWidth="1"/>
    <col min="21" max="21" width="10.26953125" customWidth="1"/>
    <col min="22" max="22" width="10.54296875" customWidth="1"/>
    <col min="23" max="24" width="15.7265625" customWidth="1"/>
    <col min="25" max="25" width="14.7265625" customWidth="1"/>
    <col min="26" max="26" width="16.1796875" customWidth="1"/>
  </cols>
  <sheetData>
    <row r="1" spans="1:26" ht="16" thickBot="1" x14ac:dyDescent="0.4">
      <c r="A1" s="103"/>
      <c r="B1" s="104" t="s">
        <v>2</v>
      </c>
      <c r="C1" s="103"/>
      <c r="D1" s="103"/>
      <c r="E1" s="103"/>
      <c r="F1" s="103"/>
      <c r="G1" s="103"/>
    </row>
    <row r="2" spans="1:26" ht="16" thickBot="1" x14ac:dyDescent="0.4">
      <c r="A2" s="107" t="s">
        <v>5</v>
      </c>
      <c r="B2" s="108"/>
      <c r="C2" s="109" t="s">
        <v>6</v>
      </c>
      <c r="D2" s="110"/>
      <c r="E2" s="143" t="s">
        <v>204</v>
      </c>
      <c r="F2" s="143"/>
      <c r="G2" s="144"/>
    </row>
    <row r="3" spans="1:26" ht="20.25" customHeight="1" thickBot="1" x14ac:dyDescent="0.4">
      <c r="A3" s="121">
        <v>0.375</v>
      </c>
      <c r="B3" s="111"/>
      <c r="C3" s="121">
        <v>0.45833333333333331</v>
      </c>
      <c r="D3" s="112"/>
      <c r="E3" s="122">
        <v>2</v>
      </c>
      <c r="F3" s="113"/>
      <c r="G3" s="114"/>
    </row>
    <row r="5" spans="1:26" ht="15" customHeight="1" thickBot="1" x14ac:dyDescent="0.4"/>
    <row r="6" spans="1:26" ht="18" customHeight="1" x14ac:dyDescent="0.35">
      <c r="A6" s="145" t="s">
        <v>241</v>
      </c>
      <c r="B6" s="148" t="s">
        <v>242</v>
      </c>
      <c r="C6" s="148" t="s">
        <v>243</v>
      </c>
      <c r="D6" s="151" t="s">
        <v>244</v>
      </c>
      <c r="F6" s="154" t="s">
        <v>241</v>
      </c>
      <c r="G6" s="159" t="s">
        <v>242</v>
      </c>
      <c r="H6" s="159" t="s">
        <v>243</v>
      </c>
      <c r="I6" s="161" t="s">
        <v>245</v>
      </c>
    </row>
    <row r="7" spans="1:26" x14ac:dyDescent="0.35">
      <c r="A7" s="146"/>
      <c r="B7" s="149"/>
      <c r="C7" s="149"/>
      <c r="D7" s="152"/>
      <c r="F7" s="155"/>
      <c r="G7" s="160"/>
      <c r="H7" s="160"/>
      <c r="I7" s="162"/>
    </row>
    <row r="8" spans="1:26" ht="18" customHeight="1" x14ac:dyDescent="0.35">
      <c r="A8" s="147"/>
      <c r="B8" s="150"/>
      <c r="C8" s="150"/>
      <c r="D8" s="153"/>
      <c r="F8" s="155"/>
      <c r="G8" s="160"/>
      <c r="H8" s="160"/>
      <c r="I8" s="162"/>
    </row>
    <row r="9" spans="1:26" ht="15.5" x14ac:dyDescent="0.35">
      <c r="A9" s="116">
        <v>0.45</v>
      </c>
      <c r="B9" s="123">
        <v>0</v>
      </c>
      <c r="C9" s="123">
        <f>B9+A9</f>
        <v>0.45</v>
      </c>
      <c r="D9" s="124">
        <v>1</v>
      </c>
      <c r="F9" s="105">
        <v>0.3</v>
      </c>
      <c r="G9" s="127">
        <v>0</v>
      </c>
      <c r="H9" s="128">
        <f>G9+F9</f>
        <v>0.3</v>
      </c>
      <c r="I9" s="129">
        <v>3</v>
      </c>
    </row>
    <row r="10" spans="1:26" ht="15.5" x14ac:dyDescent="0.35">
      <c r="A10" s="116">
        <v>0.25</v>
      </c>
      <c r="B10" s="123">
        <f>C9</f>
        <v>0.45</v>
      </c>
      <c r="C10" s="123">
        <f>B10+A10</f>
        <v>0.7</v>
      </c>
      <c r="D10" s="124">
        <v>3</v>
      </c>
      <c r="F10" s="105">
        <v>0.35</v>
      </c>
      <c r="G10" s="128">
        <f>H9</f>
        <v>0.3</v>
      </c>
      <c r="H10" s="128">
        <f>G10+F10</f>
        <v>0.64999999999999991</v>
      </c>
      <c r="I10" s="129">
        <v>7</v>
      </c>
    </row>
    <row r="11" spans="1:26" ht="16" thickBot="1" x14ac:dyDescent="0.4">
      <c r="A11" s="116">
        <v>0.1</v>
      </c>
      <c r="B11" s="123">
        <f>C10</f>
        <v>0.7</v>
      </c>
      <c r="C11" s="123">
        <f>B11+A11</f>
        <v>0.79999999999999993</v>
      </c>
      <c r="D11" s="124">
        <v>5</v>
      </c>
      <c r="F11" s="106">
        <v>0.35</v>
      </c>
      <c r="G11" s="130">
        <f>H10</f>
        <v>0.64999999999999991</v>
      </c>
      <c r="H11" s="130">
        <f>G11+F11</f>
        <v>0.99999999999999989</v>
      </c>
      <c r="I11" s="131">
        <v>8</v>
      </c>
    </row>
    <row r="12" spans="1:26" ht="15" thickBot="1" x14ac:dyDescent="0.4">
      <c r="A12" s="117">
        <v>0.2</v>
      </c>
      <c r="B12" s="125">
        <f>C11</f>
        <v>0.79999999999999993</v>
      </c>
      <c r="C12" s="125">
        <f>B12+A12</f>
        <v>1</v>
      </c>
      <c r="D12" s="126">
        <v>10</v>
      </c>
    </row>
    <row r="13" spans="1:26" ht="15" thickBot="1" x14ac:dyDescent="0.4"/>
    <row r="14" spans="1:26" ht="19.5" customHeight="1" x14ac:dyDescent="0.35">
      <c r="A14" s="163" t="s">
        <v>216</v>
      </c>
      <c r="B14" s="166" t="s">
        <v>217</v>
      </c>
      <c r="C14" s="156" t="s">
        <v>218</v>
      </c>
      <c r="D14" s="169" t="s">
        <v>219</v>
      </c>
      <c r="E14" s="156" t="s">
        <v>220</v>
      </c>
      <c r="F14" s="172" t="s">
        <v>221</v>
      </c>
      <c r="G14" s="175" t="s">
        <v>222</v>
      </c>
      <c r="H14" s="178" t="s">
        <v>223</v>
      </c>
      <c r="I14" s="181" t="s">
        <v>224</v>
      </c>
      <c r="J14" s="156" t="s">
        <v>238</v>
      </c>
      <c r="K14" s="156" t="s">
        <v>239</v>
      </c>
      <c r="L14" s="156" t="s">
        <v>240</v>
      </c>
      <c r="M14" s="184" t="s">
        <v>225</v>
      </c>
      <c r="N14" s="187" t="s">
        <v>226</v>
      </c>
      <c r="O14" s="204" t="s">
        <v>227</v>
      </c>
      <c r="P14" s="204"/>
      <c r="Q14" s="206" t="s">
        <v>230</v>
      </c>
      <c r="R14" s="206"/>
      <c r="S14" s="208" t="s">
        <v>231</v>
      </c>
      <c r="T14" s="208"/>
      <c r="U14" s="190" t="s">
        <v>232</v>
      </c>
      <c r="V14" s="193" t="s">
        <v>233</v>
      </c>
      <c r="W14" s="172" t="s">
        <v>234</v>
      </c>
      <c r="X14" s="214" t="s">
        <v>235</v>
      </c>
      <c r="Y14" s="198" t="s">
        <v>236</v>
      </c>
      <c r="Z14" s="201" t="s">
        <v>237</v>
      </c>
    </row>
    <row r="15" spans="1:26" ht="18" customHeight="1" x14ac:dyDescent="0.35">
      <c r="A15" s="164"/>
      <c r="B15" s="167"/>
      <c r="C15" s="157"/>
      <c r="D15" s="170"/>
      <c r="E15" s="157"/>
      <c r="F15" s="173"/>
      <c r="G15" s="176"/>
      <c r="H15" s="179"/>
      <c r="I15" s="182"/>
      <c r="J15" s="157"/>
      <c r="K15" s="157"/>
      <c r="L15" s="157"/>
      <c r="M15" s="185"/>
      <c r="N15" s="188"/>
      <c r="O15" s="205"/>
      <c r="P15" s="205"/>
      <c r="Q15" s="207"/>
      <c r="R15" s="207"/>
      <c r="S15" s="209"/>
      <c r="T15" s="209"/>
      <c r="U15" s="191"/>
      <c r="V15" s="194"/>
      <c r="W15" s="173"/>
      <c r="X15" s="215"/>
      <c r="Y15" s="199"/>
      <c r="Z15" s="202"/>
    </row>
    <row r="16" spans="1:26" ht="17.25" customHeight="1" x14ac:dyDescent="0.35">
      <c r="A16" s="164"/>
      <c r="B16" s="167"/>
      <c r="C16" s="157"/>
      <c r="D16" s="170"/>
      <c r="E16" s="157"/>
      <c r="F16" s="173"/>
      <c r="G16" s="176"/>
      <c r="H16" s="179"/>
      <c r="I16" s="182"/>
      <c r="J16" s="157"/>
      <c r="K16" s="157"/>
      <c r="L16" s="157"/>
      <c r="M16" s="185"/>
      <c r="N16" s="188"/>
      <c r="O16" s="210" t="s">
        <v>228</v>
      </c>
      <c r="P16" s="210" t="s">
        <v>229</v>
      </c>
      <c r="Q16" s="212" t="s">
        <v>228</v>
      </c>
      <c r="R16" s="212" t="s">
        <v>229</v>
      </c>
      <c r="S16" s="196" t="s">
        <v>228</v>
      </c>
      <c r="T16" s="196" t="s">
        <v>229</v>
      </c>
      <c r="U16" s="191"/>
      <c r="V16" s="194"/>
      <c r="W16" s="173"/>
      <c r="X16" s="215"/>
      <c r="Y16" s="199"/>
      <c r="Z16" s="202"/>
    </row>
    <row r="17" spans="1:26" ht="19.5" customHeight="1" thickBot="1" x14ac:dyDescent="0.4">
      <c r="A17" s="165"/>
      <c r="B17" s="168"/>
      <c r="C17" s="158"/>
      <c r="D17" s="171"/>
      <c r="E17" s="158"/>
      <c r="F17" s="174"/>
      <c r="G17" s="177"/>
      <c r="H17" s="180"/>
      <c r="I17" s="183"/>
      <c r="J17" s="158"/>
      <c r="K17" s="158"/>
      <c r="L17" s="158"/>
      <c r="M17" s="186"/>
      <c r="N17" s="189"/>
      <c r="O17" s="211"/>
      <c r="P17" s="211"/>
      <c r="Q17" s="213"/>
      <c r="R17" s="213"/>
      <c r="S17" s="197"/>
      <c r="T17" s="197"/>
      <c r="U17" s="192"/>
      <c r="V17" s="195"/>
      <c r="W17" s="174"/>
      <c r="X17" s="216"/>
      <c r="Y17" s="200"/>
      <c r="Z17" s="203"/>
    </row>
    <row r="19" spans="1:26" x14ac:dyDescent="0.35">
      <c r="F19" s="120">
        <f>start</f>
        <v>0.375</v>
      </c>
      <c r="P19" s="120">
        <f>start</f>
        <v>0.375</v>
      </c>
      <c r="R19" s="120">
        <f>start</f>
        <v>0.375</v>
      </c>
      <c r="T19" s="120">
        <f>start</f>
        <v>0.375</v>
      </c>
    </row>
    <row r="20" spans="1:26" x14ac:dyDescent="0.35">
      <c r="A20" s="115">
        <f ca="1">IF(ISTEXT(F20),"",1)</f>
        <v>1</v>
      </c>
      <c r="B20" s="115">
        <f t="shared" ref="B20:B59" ca="1" si="0">VLOOKUP(RAND(),IAT,3)</f>
        <v>1</v>
      </c>
      <c r="C20" s="120">
        <f ca="1">B20/1440</f>
        <v>6.9444444444444447E-4</v>
      </c>
      <c r="D20" s="115">
        <f t="shared" ref="D20:D59" ca="1" si="1">VLOOKUP(RAND(),ST,3)</f>
        <v>7</v>
      </c>
      <c r="E20" s="120">
        <f ca="1">D20/1440</f>
        <v>4.8611111111111112E-3</v>
      </c>
      <c r="F20" s="120">
        <f t="shared" ref="F20:F59" ca="1" si="2">IF(ISTEXT(F19),"",IF(F19+C20&gt;=closed,"Закрыто",F19+C20))</f>
        <v>0.37569444444444444</v>
      </c>
      <c r="G20" s="120">
        <f ca="1">IF(ISTEXT(F20),"",M20-F20)</f>
        <v>0</v>
      </c>
      <c r="H20" s="115" t="str">
        <f t="shared" ref="H20:H59" ca="1" si="3">IF(ISTEXT(F20),"",IF(G20&gt;(renegat/1440),"Ушел",""))</f>
        <v/>
      </c>
      <c r="I20" s="120" t="str">
        <f t="shared" ref="I20:I59" ca="1" si="4">IF(H20="Ушел",F20+(renegat/1440),"")</f>
        <v/>
      </c>
      <c r="J20" s="120">
        <f ca="1">MAX(P19,$F20)</f>
        <v>0.37569444444444444</v>
      </c>
      <c r="K20" s="120">
        <f ca="1">MAX(R19,$F20)</f>
        <v>0.37569444444444444</v>
      </c>
      <c r="L20" s="120">
        <f ca="1">MAX(T19,$F20)</f>
        <v>0.37569444444444444</v>
      </c>
      <c r="M20" s="120">
        <f ca="1">IF(ISTEXT(F20),"",MIN(J20:L20))</f>
        <v>0.37569444444444444</v>
      </c>
      <c r="N20" s="115">
        <f ca="1">IF(OR(ISTEXT(F20),H20="Ушел"),"",MATCH(M20,J20:L20,0))</f>
        <v>1</v>
      </c>
      <c r="O20" s="120">
        <f ca="1">IF($N20=1,M20,"")</f>
        <v>0.37569444444444444</v>
      </c>
      <c r="P20" s="120">
        <f ca="1">IF($N20=1,O20+$E20,P19)</f>
        <v>0.38055555555555554</v>
      </c>
      <c r="Q20" s="120" t="str">
        <f ca="1">IF($N20=2,M20,"")</f>
        <v/>
      </c>
      <c r="R20" s="120">
        <f ca="1">IF($N20=2,Q20+$E20,R19)</f>
        <v>0.375</v>
      </c>
      <c r="S20" s="120" t="str">
        <f ca="1">IF($N20=3,M20,"")</f>
        <v/>
      </c>
      <c r="T20" s="120">
        <f ca="1">IF($N20=3,S20+$E20,T19)</f>
        <v>0.375</v>
      </c>
      <c r="U20" s="120">
        <f ca="1">IF(H20="Ушел",I20-F20,G20)</f>
        <v>0</v>
      </c>
      <c r="V20" s="120">
        <f ca="1">IF(OR(H20="Ушел",A20="Закрыто"),"",E20)</f>
        <v>4.8611111111111112E-3</v>
      </c>
      <c r="W20" s="120">
        <f ca="1">IFERROR(Y20-F20,"")</f>
        <v>4.8611111111110938E-3</v>
      </c>
      <c r="X20" s="120">
        <f ca="1">IFERROR(IF(H20="Ушел",W20,$E20+G20),"")</f>
        <v>4.8611111111111112E-3</v>
      </c>
      <c r="Y20" s="120">
        <f ca="1">IFERROR(IF(H20="Ушел",I20,CHOOSE(N20,P20,R20,T20)),"")</f>
        <v>0.38055555555555554</v>
      </c>
      <c r="Z20" s="115">
        <f ca="1">COUNTIF($M$19:$M$19,"&gt;"&amp;$F20)</f>
        <v>0</v>
      </c>
    </row>
    <row r="21" spans="1:26" x14ac:dyDescent="0.35">
      <c r="A21" s="115">
        <f ca="1">IF(ISTEXT(F21),"Закрыто",A20+1)</f>
        <v>2</v>
      </c>
      <c r="B21" s="115">
        <f t="shared" ca="1" si="0"/>
        <v>3</v>
      </c>
      <c r="C21" s="120">
        <f t="shared" ref="C21:C59" ca="1" si="5">B21/1440</f>
        <v>2.0833333333333333E-3</v>
      </c>
      <c r="D21" s="115">
        <f t="shared" ca="1" si="1"/>
        <v>3</v>
      </c>
      <c r="E21" s="120">
        <f t="shared" ref="E21:E59" ca="1" si="6">D21/1440</f>
        <v>2.0833333333333333E-3</v>
      </c>
      <c r="F21" s="120">
        <f t="shared" ca="1" si="2"/>
        <v>0.37777777777777777</v>
      </c>
      <c r="G21" s="120">
        <f t="shared" ref="G21:G59" ca="1" si="7">IF(ISTEXT(F21),"",M21-F21)</f>
        <v>0</v>
      </c>
      <c r="H21" s="115" t="str">
        <f t="shared" ca="1" si="3"/>
        <v/>
      </c>
      <c r="I21" s="120" t="str">
        <f t="shared" ca="1" si="4"/>
        <v/>
      </c>
      <c r="J21" s="120">
        <f ca="1">IF(ISTEXT($F21),"",MAX($P$19:P20,$F21))</f>
        <v>0.38055555555555554</v>
      </c>
      <c r="K21" s="120">
        <f ca="1">IF(ISTEXT($F21),"",MAX($R$19:R20,$F21))</f>
        <v>0.37777777777777777</v>
      </c>
      <c r="L21" s="120">
        <f ca="1">IF(ISTEXT($F21),"",MAX(T19:T20,$F21))</f>
        <v>0.37777777777777777</v>
      </c>
      <c r="M21" s="120">
        <f t="shared" ref="M21:M59" ca="1" si="8">IF(ISTEXT(F21),"",MIN(J21:L21))</f>
        <v>0.37777777777777777</v>
      </c>
      <c r="N21" s="115">
        <f t="shared" ref="N21:N59" ca="1" si="9">IF(OR(ISTEXT(F21),H21="Ушел"),"",MATCH(M21,J21:L21,0))</f>
        <v>2</v>
      </c>
      <c r="O21" s="120" t="str">
        <f t="shared" ref="O21:O59" ca="1" si="10">IF($N21=1,M21,"")</f>
        <v/>
      </c>
      <c r="P21" s="120">
        <f t="shared" ref="P21:P59" ca="1" si="11">IF($N21=1,O21+$E21,P20)</f>
        <v>0.38055555555555554</v>
      </c>
      <c r="Q21" s="120">
        <f t="shared" ref="Q21:Q59" ca="1" si="12">IF($N21=2,M21,"")</f>
        <v>0.37777777777777777</v>
      </c>
      <c r="R21" s="120">
        <f t="shared" ref="R21:R59" ca="1" si="13">IF($N21=2,Q21+$E21,R20)</f>
        <v>0.37986111111111109</v>
      </c>
      <c r="S21" s="120" t="str">
        <f t="shared" ref="S21:S59" ca="1" si="14">IF($N21=3,M21,"")</f>
        <v/>
      </c>
      <c r="T21" s="120">
        <f t="shared" ref="T21:T59" ca="1" si="15">IF($N21=3,S21+$E21,T20)</f>
        <v>0.375</v>
      </c>
      <c r="U21" s="120">
        <f t="shared" ref="U21:U59" ca="1" si="16">IF(H21="Ушел",I21-F21,G21)</f>
        <v>0</v>
      </c>
      <c r="V21" s="120">
        <f t="shared" ref="V21:V59" ca="1" si="17">IF(OR(H21="Ушел",A21="Закрыто"),"",E21)</f>
        <v>2.0833333333333333E-3</v>
      </c>
      <c r="W21" s="120">
        <f t="shared" ref="W21:W58" ca="1" si="18">IFERROR(Y21-F21,"")</f>
        <v>2.0833333333333259E-3</v>
      </c>
      <c r="X21" s="120">
        <f ca="1">IFERROR(IF(H21="Ушел",W21,$E21+G21),"")</f>
        <v>2.0833333333333333E-3</v>
      </c>
      <c r="Y21" s="120">
        <f t="shared" ref="Y21:Y59" ca="1" si="19">IFERROR(IF(H21="Ушел",I21,CHOOSE(N21,P21,R21,T21)),"")</f>
        <v>0.37986111111111109</v>
      </c>
      <c r="Z21" s="115">
        <f t="shared" ref="Z21:Z59" ca="1" si="20">COUNTIF($M$19:$M$19,"&gt;"&amp;$F21)</f>
        <v>0</v>
      </c>
    </row>
    <row r="22" spans="1:26" x14ac:dyDescent="0.35">
      <c r="A22" s="115">
        <f t="shared" ref="A22:A59" ca="1" si="21">IF(ISTEXT(F22),"Закрыто",A21+1)</f>
        <v>3</v>
      </c>
      <c r="B22" s="115">
        <f t="shared" ca="1" si="0"/>
        <v>3</v>
      </c>
      <c r="C22" s="120">
        <f t="shared" ca="1" si="5"/>
        <v>2.0833333333333333E-3</v>
      </c>
      <c r="D22" s="115">
        <f t="shared" ca="1" si="1"/>
        <v>7</v>
      </c>
      <c r="E22" s="120">
        <f t="shared" ca="1" si="6"/>
        <v>4.8611111111111112E-3</v>
      </c>
      <c r="F22" s="120">
        <f t="shared" ca="1" si="2"/>
        <v>0.37986111111111109</v>
      </c>
      <c r="G22" s="120">
        <f t="shared" ca="1" si="7"/>
        <v>0</v>
      </c>
      <c r="H22" s="115" t="str">
        <f t="shared" ca="1" si="3"/>
        <v/>
      </c>
      <c r="I22" s="120" t="str">
        <f t="shared" ca="1" si="4"/>
        <v/>
      </c>
      <c r="J22" s="120">
        <f ca="1">IF(ISTEXT($F22),"",MAX($P$19:P21,$F22))</f>
        <v>0.38055555555555554</v>
      </c>
      <c r="K22" s="120">
        <f ca="1">IF(ISTEXT($F22),"",MAX($R$19:R21,$F22))</f>
        <v>0.37986111111111109</v>
      </c>
      <c r="L22" s="120">
        <f t="shared" ref="L22:L59" ca="1" si="22">IF(ISTEXT($F22),"",MAX(T20:T21,$F22))</f>
        <v>0.37986111111111109</v>
      </c>
      <c r="M22" s="120">
        <f t="shared" ca="1" si="8"/>
        <v>0.37986111111111109</v>
      </c>
      <c r="N22" s="115">
        <f t="shared" ca="1" si="9"/>
        <v>2</v>
      </c>
      <c r="O22" s="120" t="str">
        <f t="shared" ca="1" si="10"/>
        <v/>
      </c>
      <c r="P22" s="120">
        <f t="shared" ca="1" si="11"/>
        <v>0.38055555555555554</v>
      </c>
      <c r="Q22" s="120">
        <f t="shared" ca="1" si="12"/>
        <v>0.37986111111111109</v>
      </c>
      <c r="R22" s="120">
        <f t="shared" ca="1" si="13"/>
        <v>0.38472222222222219</v>
      </c>
      <c r="S22" s="120" t="str">
        <f t="shared" ca="1" si="14"/>
        <v/>
      </c>
      <c r="T22" s="120">
        <f t="shared" ca="1" si="15"/>
        <v>0.375</v>
      </c>
      <c r="U22" s="120">
        <f t="shared" ca="1" si="16"/>
        <v>0</v>
      </c>
      <c r="V22" s="120">
        <f t="shared" ca="1" si="17"/>
        <v>4.8611111111111112E-3</v>
      </c>
      <c r="W22" s="120">
        <f t="shared" ca="1" si="18"/>
        <v>4.8611111111110938E-3</v>
      </c>
      <c r="X22" s="120">
        <f t="shared" ref="X22:X59" ca="1" si="23">IFERROR(IF(H22="Ушел",W22,$E22+G22),"")</f>
        <v>4.8611111111111112E-3</v>
      </c>
      <c r="Y22" s="120">
        <f t="shared" ca="1" si="19"/>
        <v>0.38472222222222219</v>
      </c>
      <c r="Z22" s="115">
        <f t="shared" ca="1" si="20"/>
        <v>0</v>
      </c>
    </row>
    <row r="23" spans="1:26" x14ac:dyDescent="0.35">
      <c r="A23" s="115">
        <f t="shared" ca="1" si="21"/>
        <v>4</v>
      </c>
      <c r="B23" s="115">
        <f t="shared" ca="1" si="0"/>
        <v>1</v>
      </c>
      <c r="C23" s="120">
        <f t="shared" ca="1" si="5"/>
        <v>6.9444444444444447E-4</v>
      </c>
      <c r="D23" s="115">
        <f t="shared" ca="1" si="1"/>
        <v>7</v>
      </c>
      <c r="E23" s="120">
        <f t="shared" ca="1" si="6"/>
        <v>4.8611111111111112E-3</v>
      </c>
      <c r="F23" s="120">
        <f t="shared" ca="1" si="2"/>
        <v>0.38055555555555554</v>
      </c>
      <c r="G23" s="120">
        <f t="shared" ca="1" si="7"/>
        <v>0</v>
      </c>
      <c r="H23" s="115" t="str">
        <f t="shared" ca="1" si="3"/>
        <v/>
      </c>
      <c r="I23" s="120" t="str">
        <f t="shared" ca="1" si="4"/>
        <v/>
      </c>
      <c r="J23" s="120">
        <f ca="1">IF(ISTEXT($F23),"",MAX($P$19:P22,$F23))</f>
        <v>0.38055555555555554</v>
      </c>
      <c r="K23" s="120">
        <f ca="1">IF(ISTEXT($F23),"",MAX($R$19:R22,$F23))</f>
        <v>0.38472222222222219</v>
      </c>
      <c r="L23" s="120">
        <f t="shared" ca="1" si="22"/>
        <v>0.38055555555555554</v>
      </c>
      <c r="M23" s="120">
        <f t="shared" ca="1" si="8"/>
        <v>0.38055555555555554</v>
      </c>
      <c r="N23" s="115">
        <f t="shared" ca="1" si="9"/>
        <v>1</v>
      </c>
      <c r="O23" s="120">
        <f t="shared" ca="1" si="10"/>
        <v>0.38055555555555554</v>
      </c>
      <c r="P23" s="120">
        <f t="shared" ca="1" si="11"/>
        <v>0.38541666666666663</v>
      </c>
      <c r="Q23" s="120" t="str">
        <f t="shared" ca="1" si="12"/>
        <v/>
      </c>
      <c r="R23" s="120">
        <f t="shared" ca="1" si="13"/>
        <v>0.38472222222222219</v>
      </c>
      <c r="S23" s="120" t="str">
        <f t="shared" ca="1" si="14"/>
        <v/>
      </c>
      <c r="T23" s="120">
        <f t="shared" ca="1" si="15"/>
        <v>0.375</v>
      </c>
      <c r="U23" s="120">
        <f t="shared" ca="1" si="16"/>
        <v>0</v>
      </c>
      <c r="V23" s="120">
        <f t="shared" ca="1" si="17"/>
        <v>4.8611111111111112E-3</v>
      </c>
      <c r="W23" s="120">
        <f t="shared" ca="1" si="18"/>
        <v>4.8611111111110938E-3</v>
      </c>
      <c r="X23" s="120">
        <f t="shared" ca="1" si="23"/>
        <v>4.8611111111111112E-3</v>
      </c>
      <c r="Y23" s="120">
        <f t="shared" ca="1" si="19"/>
        <v>0.38541666666666663</v>
      </c>
      <c r="Z23" s="115">
        <f t="shared" ca="1" si="20"/>
        <v>0</v>
      </c>
    </row>
    <row r="24" spans="1:26" x14ac:dyDescent="0.35">
      <c r="A24" s="115">
        <f t="shared" ca="1" si="21"/>
        <v>5</v>
      </c>
      <c r="B24" s="115">
        <f t="shared" ca="1" si="0"/>
        <v>3</v>
      </c>
      <c r="C24" s="120">
        <f t="shared" ca="1" si="5"/>
        <v>2.0833333333333333E-3</v>
      </c>
      <c r="D24" s="115">
        <f t="shared" ca="1" si="1"/>
        <v>3</v>
      </c>
      <c r="E24" s="120">
        <f t="shared" ca="1" si="6"/>
        <v>2.0833333333333333E-3</v>
      </c>
      <c r="F24" s="120">
        <f t="shared" ca="1" si="2"/>
        <v>0.38263888888888886</v>
      </c>
      <c r="G24" s="120">
        <f t="shared" ca="1" si="7"/>
        <v>0</v>
      </c>
      <c r="H24" s="115" t="str">
        <f t="shared" ca="1" si="3"/>
        <v/>
      </c>
      <c r="I24" s="120" t="str">
        <f t="shared" ca="1" si="4"/>
        <v/>
      </c>
      <c r="J24" s="120">
        <f ca="1">IF(ISTEXT($F24),"",MAX($P$19:P23,$F24))</f>
        <v>0.38541666666666663</v>
      </c>
      <c r="K24" s="120">
        <f ca="1">IF(ISTEXT($F24),"",MAX($R$19:R23,$F24))</f>
        <v>0.38472222222222219</v>
      </c>
      <c r="L24" s="120">
        <f t="shared" ca="1" si="22"/>
        <v>0.38263888888888886</v>
      </c>
      <c r="M24" s="120">
        <f t="shared" ca="1" si="8"/>
        <v>0.38263888888888886</v>
      </c>
      <c r="N24" s="115">
        <f t="shared" ca="1" si="9"/>
        <v>3</v>
      </c>
      <c r="O24" s="120" t="str">
        <f t="shared" ca="1" si="10"/>
        <v/>
      </c>
      <c r="P24" s="120">
        <f t="shared" ca="1" si="11"/>
        <v>0.38541666666666663</v>
      </c>
      <c r="Q24" s="120" t="str">
        <f t="shared" ca="1" si="12"/>
        <v/>
      </c>
      <c r="R24" s="120">
        <f t="shared" ca="1" si="13"/>
        <v>0.38472222222222219</v>
      </c>
      <c r="S24" s="120">
        <f t="shared" ca="1" si="14"/>
        <v>0.38263888888888886</v>
      </c>
      <c r="T24" s="120">
        <f t="shared" ca="1" si="15"/>
        <v>0.38472222222222219</v>
      </c>
      <c r="U24" s="120">
        <f t="shared" ca="1" si="16"/>
        <v>0</v>
      </c>
      <c r="V24" s="120">
        <f t="shared" ca="1" si="17"/>
        <v>2.0833333333333333E-3</v>
      </c>
      <c r="W24" s="120">
        <f t="shared" ca="1" si="18"/>
        <v>2.0833333333333259E-3</v>
      </c>
      <c r="X24" s="120">
        <f t="shared" ca="1" si="23"/>
        <v>2.0833333333333333E-3</v>
      </c>
      <c r="Y24" s="120">
        <f t="shared" ca="1" si="19"/>
        <v>0.38472222222222219</v>
      </c>
      <c r="Z24" s="115">
        <f t="shared" ca="1" si="20"/>
        <v>0</v>
      </c>
    </row>
    <row r="25" spans="1:26" x14ac:dyDescent="0.35">
      <c r="A25" s="115">
        <f t="shared" ca="1" si="21"/>
        <v>6</v>
      </c>
      <c r="B25" s="115">
        <f t="shared" ca="1" si="0"/>
        <v>3</v>
      </c>
      <c r="C25" s="120">
        <f t="shared" ca="1" si="5"/>
        <v>2.0833333333333333E-3</v>
      </c>
      <c r="D25" s="115">
        <f t="shared" ca="1" si="1"/>
        <v>3</v>
      </c>
      <c r="E25" s="120">
        <f t="shared" ca="1" si="6"/>
        <v>2.0833333333333333E-3</v>
      </c>
      <c r="F25" s="120">
        <f t="shared" ca="1" si="2"/>
        <v>0.38472222222222219</v>
      </c>
      <c r="G25" s="120">
        <f t="shared" ca="1" si="7"/>
        <v>0</v>
      </c>
      <c r="H25" s="115" t="str">
        <f t="shared" ca="1" si="3"/>
        <v/>
      </c>
      <c r="I25" s="120" t="str">
        <f t="shared" ca="1" si="4"/>
        <v/>
      </c>
      <c r="J25" s="120">
        <f ca="1">IF(ISTEXT($F25),"",MAX($P$19:P24,$F25))</f>
        <v>0.38541666666666663</v>
      </c>
      <c r="K25" s="120">
        <f ca="1">IF(ISTEXT($F25),"",MAX($R$19:R24,$F25))</f>
        <v>0.38472222222222219</v>
      </c>
      <c r="L25" s="120">
        <f t="shared" ca="1" si="22"/>
        <v>0.38472222222222219</v>
      </c>
      <c r="M25" s="120">
        <f t="shared" ca="1" si="8"/>
        <v>0.38472222222222219</v>
      </c>
      <c r="N25" s="115">
        <f t="shared" ca="1" si="9"/>
        <v>2</v>
      </c>
      <c r="O25" s="120" t="str">
        <f t="shared" ca="1" si="10"/>
        <v/>
      </c>
      <c r="P25" s="120">
        <f t="shared" ca="1" si="11"/>
        <v>0.38541666666666663</v>
      </c>
      <c r="Q25" s="120">
        <f t="shared" ca="1" si="12"/>
        <v>0.38472222222222219</v>
      </c>
      <c r="R25" s="120">
        <f t="shared" ca="1" si="13"/>
        <v>0.38680555555555551</v>
      </c>
      <c r="S25" s="120" t="str">
        <f t="shared" ca="1" si="14"/>
        <v/>
      </c>
      <c r="T25" s="120">
        <f t="shared" ca="1" si="15"/>
        <v>0.38472222222222219</v>
      </c>
      <c r="U25" s="120">
        <f t="shared" ca="1" si="16"/>
        <v>0</v>
      </c>
      <c r="V25" s="120">
        <f t="shared" ca="1" si="17"/>
        <v>2.0833333333333333E-3</v>
      </c>
      <c r="W25" s="120">
        <f t="shared" ca="1" si="18"/>
        <v>2.0833333333333259E-3</v>
      </c>
      <c r="X25" s="120">
        <f t="shared" ca="1" si="23"/>
        <v>2.0833333333333333E-3</v>
      </c>
      <c r="Y25" s="120">
        <f t="shared" ca="1" si="19"/>
        <v>0.38680555555555551</v>
      </c>
      <c r="Z25" s="115">
        <f t="shared" ca="1" si="20"/>
        <v>0</v>
      </c>
    </row>
    <row r="26" spans="1:26" x14ac:dyDescent="0.35">
      <c r="A26" s="115">
        <f t="shared" ca="1" si="21"/>
        <v>7</v>
      </c>
      <c r="B26" s="115">
        <f t="shared" ca="1" si="0"/>
        <v>5</v>
      </c>
      <c r="C26" s="120">
        <f t="shared" ca="1" si="5"/>
        <v>3.472222222222222E-3</v>
      </c>
      <c r="D26" s="115">
        <f t="shared" ca="1" si="1"/>
        <v>3</v>
      </c>
      <c r="E26" s="120">
        <f t="shared" ca="1" si="6"/>
        <v>2.0833333333333333E-3</v>
      </c>
      <c r="F26" s="120">
        <f t="shared" ca="1" si="2"/>
        <v>0.3881944444444444</v>
      </c>
      <c r="G26" s="120">
        <f t="shared" ca="1" si="7"/>
        <v>0</v>
      </c>
      <c r="H26" s="115" t="str">
        <f t="shared" ca="1" si="3"/>
        <v/>
      </c>
      <c r="I26" s="120" t="str">
        <f t="shared" ca="1" si="4"/>
        <v/>
      </c>
      <c r="J26" s="120">
        <f ca="1">IF(ISTEXT($F26),"",MAX($P$19:P25,$F26))</f>
        <v>0.3881944444444444</v>
      </c>
      <c r="K26" s="120">
        <f ca="1">IF(ISTEXT($F26),"",MAX($R$19:R25,$F26))</f>
        <v>0.3881944444444444</v>
      </c>
      <c r="L26" s="120">
        <f t="shared" ca="1" si="22"/>
        <v>0.3881944444444444</v>
      </c>
      <c r="M26" s="120">
        <f t="shared" ca="1" si="8"/>
        <v>0.3881944444444444</v>
      </c>
      <c r="N26" s="115">
        <f t="shared" ca="1" si="9"/>
        <v>1</v>
      </c>
      <c r="O26" s="120">
        <f t="shared" ca="1" si="10"/>
        <v>0.3881944444444444</v>
      </c>
      <c r="P26" s="120">
        <f t="shared" ca="1" si="11"/>
        <v>0.39027777777777772</v>
      </c>
      <c r="Q26" s="120" t="str">
        <f t="shared" ca="1" si="12"/>
        <v/>
      </c>
      <c r="R26" s="120">
        <f t="shared" ca="1" si="13"/>
        <v>0.38680555555555551</v>
      </c>
      <c r="S26" s="120" t="str">
        <f t="shared" ca="1" si="14"/>
        <v/>
      </c>
      <c r="T26" s="120">
        <f t="shared" ca="1" si="15"/>
        <v>0.38472222222222219</v>
      </c>
      <c r="U26" s="120">
        <f t="shared" ca="1" si="16"/>
        <v>0</v>
      </c>
      <c r="V26" s="120">
        <f t="shared" ca="1" si="17"/>
        <v>2.0833333333333333E-3</v>
      </c>
      <c r="W26" s="120">
        <f t="shared" ca="1" si="18"/>
        <v>2.0833333333333259E-3</v>
      </c>
      <c r="X26" s="120">
        <f t="shared" ca="1" si="23"/>
        <v>2.0833333333333333E-3</v>
      </c>
      <c r="Y26" s="120">
        <f t="shared" ca="1" si="19"/>
        <v>0.39027777777777772</v>
      </c>
      <c r="Z26" s="115">
        <f t="shared" ca="1" si="20"/>
        <v>0</v>
      </c>
    </row>
    <row r="27" spans="1:26" x14ac:dyDescent="0.35">
      <c r="A27" s="115">
        <f t="shared" ca="1" si="21"/>
        <v>8</v>
      </c>
      <c r="B27" s="115">
        <f t="shared" ca="1" si="0"/>
        <v>3</v>
      </c>
      <c r="C27" s="120">
        <f t="shared" ca="1" si="5"/>
        <v>2.0833333333333333E-3</v>
      </c>
      <c r="D27" s="115">
        <f t="shared" ca="1" si="1"/>
        <v>3</v>
      </c>
      <c r="E27" s="120">
        <f t="shared" ca="1" si="6"/>
        <v>2.0833333333333333E-3</v>
      </c>
      <c r="F27" s="120">
        <f t="shared" ca="1" si="2"/>
        <v>0.39027777777777772</v>
      </c>
      <c r="G27" s="120">
        <f t="shared" ca="1" si="7"/>
        <v>0</v>
      </c>
      <c r="H27" s="115" t="str">
        <f t="shared" ca="1" si="3"/>
        <v/>
      </c>
      <c r="I27" s="120" t="str">
        <f t="shared" ca="1" si="4"/>
        <v/>
      </c>
      <c r="J27" s="120">
        <f ca="1">IF(ISTEXT($F27),"",MAX($P$19:P26,$F27))</f>
        <v>0.39027777777777772</v>
      </c>
      <c r="K27" s="120">
        <f ca="1">IF(ISTEXT($F27),"",MAX($R$19:R26,$F27))</f>
        <v>0.39027777777777772</v>
      </c>
      <c r="L27" s="120">
        <f t="shared" ca="1" si="22"/>
        <v>0.39027777777777772</v>
      </c>
      <c r="M27" s="120">
        <f t="shared" ca="1" si="8"/>
        <v>0.39027777777777772</v>
      </c>
      <c r="N27" s="115">
        <f t="shared" ca="1" si="9"/>
        <v>1</v>
      </c>
      <c r="O27" s="120">
        <f t="shared" ca="1" si="10"/>
        <v>0.39027777777777772</v>
      </c>
      <c r="P27" s="120">
        <f t="shared" ca="1" si="11"/>
        <v>0.39236111111111105</v>
      </c>
      <c r="Q27" s="120" t="str">
        <f t="shared" ca="1" si="12"/>
        <v/>
      </c>
      <c r="R27" s="120">
        <f t="shared" ca="1" si="13"/>
        <v>0.38680555555555551</v>
      </c>
      <c r="S27" s="120" t="str">
        <f t="shared" ca="1" si="14"/>
        <v/>
      </c>
      <c r="T27" s="120">
        <f t="shared" ca="1" si="15"/>
        <v>0.38472222222222219</v>
      </c>
      <c r="U27" s="120">
        <f t="shared" ca="1" si="16"/>
        <v>0</v>
      </c>
      <c r="V27" s="120">
        <f t="shared" ca="1" si="17"/>
        <v>2.0833333333333333E-3</v>
      </c>
      <c r="W27" s="120">
        <f t="shared" ca="1" si="18"/>
        <v>2.0833333333333259E-3</v>
      </c>
      <c r="X27" s="120">
        <f t="shared" ca="1" si="23"/>
        <v>2.0833333333333333E-3</v>
      </c>
      <c r="Y27" s="120">
        <f t="shared" ca="1" si="19"/>
        <v>0.39236111111111105</v>
      </c>
      <c r="Z27" s="115">
        <f t="shared" ca="1" si="20"/>
        <v>0</v>
      </c>
    </row>
    <row r="28" spans="1:26" x14ac:dyDescent="0.35">
      <c r="A28" s="115">
        <f t="shared" ca="1" si="21"/>
        <v>9</v>
      </c>
      <c r="B28" s="115">
        <f t="shared" ca="1" si="0"/>
        <v>1</v>
      </c>
      <c r="C28" s="120">
        <f t="shared" ca="1" si="5"/>
        <v>6.9444444444444447E-4</v>
      </c>
      <c r="D28" s="115">
        <f t="shared" ca="1" si="1"/>
        <v>3</v>
      </c>
      <c r="E28" s="120">
        <f t="shared" ca="1" si="6"/>
        <v>2.0833333333333333E-3</v>
      </c>
      <c r="F28" s="120">
        <f t="shared" ca="1" si="2"/>
        <v>0.39097222222222217</v>
      </c>
      <c r="G28" s="120">
        <f t="shared" ca="1" si="7"/>
        <v>0</v>
      </c>
      <c r="H28" s="115" t="str">
        <f t="shared" ca="1" si="3"/>
        <v/>
      </c>
      <c r="I28" s="120" t="str">
        <f t="shared" ca="1" si="4"/>
        <v/>
      </c>
      <c r="J28" s="120">
        <f ca="1">IF(ISTEXT($F28),"",MAX($P$19:P27,$F28))</f>
        <v>0.39236111111111105</v>
      </c>
      <c r="K28" s="120">
        <f ca="1">IF(ISTEXT($F28),"",MAX($R$19:R27,$F28))</f>
        <v>0.39097222222222217</v>
      </c>
      <c r="L28" s="120">
        <f t="shared" ca="1" si="22"/>
        <v>0.39097222222222217</v>
      </c>
      <c r="M28" s="120">
        <f t="shared" ca="1" si="8"/>
        <v>0.39097222222222217</v>
      </c>
      <c r="N28" s="115">
        <f t="shared" ca="1" si="9"/>
        <v>2</v>
      </c>
      <c r="O28" s="120" t="str">
        <f t="shared" ca="1" si="10"/>
        <v/>
      </c>
      <c r="P28" s="120">
        <f t="shared" ca="1" si="11"/>
        <v>0.39236111111111105</v>
      </c>
      <c r="Q28" s="120">
        <f t="shared" ca="1" si="12"/>
        <v>0.39097222222222217</v>
      </c>
      <c r="R28" s="120">
        <f t="shared" ca="1" si="13"/>
        <v>0.39305555555555549</v>
      </c>
      <c r="S28" s="120" t="str">
        <f t="shared" ca="1" si="14"/>
        <v/>
      </c>
      <c r="T28" s="120">
        <f t="shared" ca="1" si="15"/>
        <v>0.38472222222222219</v>
      </c>
      <c r="U28" s="120">
        <f t="shared" ca="1" si="16"/>
        <v>0</v>
      </c>
      <c r="V28" s="120">
        <f t="shared" ca="1" si="17"/>
        <v>2.0833333333333333E-3</v>
      </c>
      <c r="W28" s="120">
        <f t="shared" ca="1" si="18"/>
        <v>2.0833333333333259E-3</v>
      </c>
      <c r="X28" s="120">
        <f t="shared" ca="1" si="23"/>
        <v>2.0833333333333333E-3</v>
      </c>
      <c r="Y28" s="120">
        <f t="shared" ca="1" si="19"/>
        <v>0.39305555555555549</v>
      </c>
      <c r="Z28" s="115">
        <f t="shared" ca="1" si="20"/>
        <v>0</v>
      </c>
    </row>
    <row r="29" spans="1:26" x14ac:dyDescent="0.35">
      <c r="A29" s="115">
        <f t="shared" ca="1" si="21"/>
        <v>10</v>
      </c>
      <c r="B29" s="115">
        <f t="shared" ca="1" si="0"/>
        <v>1</v>
      </c>
      <c r="C29" s="120">
        <f t="shared" ca="1" si="5"/>
        <v>6.9444444444444447E-4</v>
      </c>
      <c r="D29" s="115">
        <f t="shared" ca="1" si="1"/>
        <v>3</v>
      </c>
      <c r="E29" s="120">
        <f t="shared" ca="1" si="6"/>
        <v>2.0833333333333333E-3</v>
      </c>
      <c r="F29" s="120">
        <f t="shared" ca="1" si="2"/>
        <v>0.39166666666666661</v>
      </c>
      <c r="G29" s="120">
        <f t="shared" ca="1" si="7"/>
        <v>0</v>
      </c>
      <c r="H29" s="115" t="str">
        <f t="shared" ca="1" si="3"/>
        <v/>
      </c>
      <c r="I29" s="120" t="str">
        <f t="shared" ca="1" si="4"/>
        <v/>
      </c>
      <c r="J29" s="120">
        <f ca="1">IF(ISTEXT($F29),"",MAX($P$19:P28,$F29))</f>
        <v>0.39236111111111105</v>
      </c>
      <c r="K29" s="120">
        <f ca="1">IF(ISTEXT($F29),"",MAX($R$19:R28,$F29))</f>
        <v>0.39305555555555549</v>
      </c>
      <c r="L29" s="120">
        <f t="shared" ca="1" si="22"/>
        <v>0.39166666666666661</v>
      </c>
      <c r="M29" s="120">
        <f t="shared" ca="1" si="8"/>
        <v>0.39166666666666661</v>
      </c>
      <c r="N29" s="115">
        <f t="shared" ca="1" si="9"/>
        <v>3</v>
      </c>
      <c r="O29" s="120" t="str">
        <f t="shared" ca="1" si="10"/>
        <v/>
      </c>
      <c r="P29" s="120">
        <f t="shared" ca="1" si="11"/>
        <v>0.39236111111111105</v>
      </c>
      <c r="Q29" s="120" t="str">
        <f t="shared" ca="1" si="12"/>
        <v/>
      </c>
      <c r="R29" s="120">
        <f t="shared" ca="1" si="13"/>
        <v>0.39305555555555549</v>
      </c>
      <c r="S29" s="120">
        <f t="shared" ca="1" si="14"/>
        <v>0.39166666666666661</v>
      </c>
      <c r="T29" s="120">
        <f t="shared" ca="1" si="15"/>
        <v>0.39374999999999993</v>
      </c>
      <c r="U29" s="120">
        <f t="shared" ca="1" si="16"/>
        <v>0</v>
      </c>
      <c r="V29" s="120">
        <f t="shared" ca="1" si="17"/>
        <v>2.0833333333333333E-3</v>
      </c>
      <c r="W29" s="120">
        <f t="shared" ca="1" si="18"/>
        <v>2.0833333333333259E-3</v>
      </c>
      <c r="X29" s="120">
        <f t="shared" ca="1" si="23"/>
        <v>2.0833333333333333E-3</v>
      </c>
      <c r="Y29" s="120">
        <f t="shared" ca="1" si="19"/>
        <v>0.39374999999999993</v>
      </c>
      <c r="Z29" s="115">
        <f t="shared" ca="1" si="20"/>
        <v>0</v>
      </c>
    </row>
    <row r="30" spans="1:26" x14ac:dyDescent="0.35">
      <c r="A30" s="115">
        <f t="shared" ca="1" si="21"/>
        <v>11</v>
      </c>
      <c r="B30" s="115">
        <f t="shared" ca="1" si="0"/>
        <v>10</v>
      </c>
      <c r="C30" s="120">
        <f t="shared" ca="1" si="5"/>
        <v>6.9444444444444441E-3</v>
      </c>
      <c r="D30" s="115">
        <f t="shared" ca="1" si="1"/>
        <v>8</v>
      </c>
      <c r="E30" s="120">
        <f t="shared" ca="1" si="6"/>
        <v>5.5555555555555558E-3</v>
      </c>
      <c r="F30" s="120">
        <f t="shared" ca="1" si="2"/>
        <v>0.39861111111111103</v>
      </c>
      <c r="G30" s="120">
        <f t="shared" ca="1" si="7"/>
        <v>0</v>
      </c>
      <c r="H30" s="115" t="str">
        <f t="shared" ca="1" si="3"/>
        <v/>
      </c>
      <c r="I30" s="120" t="str">
        <f t="shared" ca="1" si="4"/>
        <v/>
      </c>
      <c r="J30" s="120">
        <f ca="1">IF(ISTEXT($F30),"",MAX($P$19:P29,$F30))</f>
        <v>0.39861111111111103</v>
      </c>
      <c r="K30" s="120">
        <f ca="1">IF(ISTEXT($F30),"",MAX($R$19:R29,$F30))</f>
        <v>0.39861111111111103</v>
      </c>
      <c r="L30" s="120">
        <f t="shared" ca="1" si="22"/>
        <v>0.39861111111111103</v>
      </c>
      <c r="M30" s="120">
        <f t="shared" ca="1" si="8"/>
        <v>0.39861111111111103</v>
      </c>
      <c r="N30" s="115">
        <f t="shared" ca="1" si="9"/>
        <v>1</v>
      </c>
      <c r="O30" s="120">
        <f t="shared" ca="1" si="10"/>
        <v>0.39861111111111103</v>
      </c>
      <c r="P30" s="120">
        <f t="shared" ca="1" si="11"/>
        <v>0.40416666666666656</v>
      </c>
      <c r="Q30" s="120" t="str">
        <f t="shared" ca="1" si="12"/>
        <v/>
      </c>
      <c r="R30" s="120">
        <f t="shared" ca="1" si="13"/>
        <v>0.39305555555555549</v>
      </c>
      <c r="S30" s="120" t="str">
        <f t="shared" ca="1" si="14"/>
        <v/>
      </c>
      <c r="T30" s="120">
        <f t="shared" ca="1" si="15"/>
        <v>0.39374999999999993</v>
      </c>
      <c r="U30" s="120">
        <f t="shared" ca="1" si="16"/>
        <v>0</v>
      </c>
      <c r="V30" s="120">
        <f t="shared" ca="1" si="17"/>
        <v>5.5555555555555558E-3</v>
      </c>
      <c r="W30" s="120">
        <f t="shared" ca="1" si="18"/>
        <v>5.5555555555555358E-3</v>
      </c>
      <c r="X30" s="120">
        <f t="shared" ca="1" si="23"/>
        <v>5.5555555555555558E-3</v>
      </c>
      <c r="Y30" s="120">
        <f t="shared" ca="1" si="19"/>
        <v>0.40416666666666656</v>
      </c>
      <c r="Z30" s="115">
        <f t="shared" ca="1" si="20"/>
        <v>0</v>
      </c>
    </row>
    <row r="31" spans="1:26" x14ac:dyDescent="0.35">
      <c r="A31" s="115">
        <f t="shared" ca="1" si="21"/>
        <v>12</v>
      </c>
      <c r="B31" s="115">
        <f t="shared" ca="1" si="0"/>
        <v>1</v>
      </c>
      <c r="C31" s="120">
        <f t="shared" ca="1" si="5"/>
        <v>6.9444444444444447E-4</v>
      </c>
      <c r="D31" s="115">
        <f t="shared" ca="1" si="1"/>
        <v>8</v>
      </c>
      <c r="E31" s="120">
        <f t="shared" ca="1" si="6"/>
        <v>5.5555555555555558E-3</v>
      </c>
      <c r="F31" s="120">
        <f t="shared" ca="1" si="2"/>
        <v>0.39930555555555547</v>
      </c>
      <c r="G31" s="120">
        <f t="shared" ca="1" si="7"/>
        <v>0</v>
      </c>
      <c r="H31" s="115" t="str">
        <f t="shared" ca="1" si="3"/>
        <v/>
      </c>
      <c r="I31" s="120" t="str">
        <f t="shared" ca="1" si="4"/>
        <v/>
      </c>
      <c r="J31" s="120">
        <f ca="1">IF(ISTEXT($F31),"",MAX($P$19:P30,$F31))</f>
        <v>0.40416666666666656</v>
      </c>
      <c r="K31" s="120">
        <f ca="1">IF(ISTEXT($F31),"",MAX($R$19:R30,$F31))</f>
        <v>0.39930555555555547</v>
      </c>
      <c r="L31" s="120">
        <f t="shared" ca="1" si="22"/>
        <v>0.39930555555555547</v>
      </c>
      <c r="M31" s="120">
        <f t="shared" ca="1" si="8"/>
        <v>0.39930555555555547</v>
      </c>
      <c r="N31" s="115">
        <f t="shared" ca="1" si="9"/>
        <v>2</v>
      </c>
      <c r="O31" s="120" t="str">
        <f t="shared" ca="1" si="10"/>
        <v/>
      </c>
      <c r="P31" s="120">
        <f t="shared" ca="1" si="11"/>
        <v>0.40416666666666656</v>
      </c>
      <c r="Q31" s="120">
        <f t="shared" ca="1" si="12"/>
        <v>0.39930555555555547</v>
      </c>
      <c r="R31" s="120">
        <f t="shared" ca="1" si="13"/>
        <v>0.40486111111111101</v>
      </c>
      <c r="S31" s="120" t="str">
        <f t="shared" ca="1" si="14"/>
        <v/>
      </c>
      <c r="T31" s="120">
        <f t="shared" ca="1" si="15"/>
        <v>0.39374999999999993</v>
      </c>
      <c r="U31" s="120">
        <f t="shared" ca="1" si="16"/>
        <v>0</v>
      </c>
      <c r="V31" s="120">
        <f t="shared" ca="1" si="17"/>
        <v>5.5555555555555558E-3</v>
      </c>
      <c r="W31" s="120">
        <f t="shared" ca="1" si="18"/>
        <v>5.5555555555555358E-3</v>
      </c>
      <c r="X31" s="120">
        <f t="shared" ca="1" si="23"/>
        <v>5.5555555555555558E-3</v>
      </c>
      <c r="Y31" s="120">
        <f t="shared" ca="1" si="19"/>
        <v>0.40486111111111101</v>
      </c>
      <c r="Z31" s="115">
        <f t="shared" ca="1" si="20"/>
        <v>0</v>
      </c>
    </row>
    <row r="32" spans="1:26" x14ac:dyDescent="0.35">
      <c r="A32" s="115">
        <f t="shared" ca="1" si="21"/>
        <v>13</v>
      </c>
      <c r="B32" s="115">
        <f t="shared" ca="1" si="0"/>
        <v>1</v>
      </c>
      <c r="C32" s="120">
        <f t="shared" ca="1" si="5"/>
        <v>6.9444444444444447E-4</v>
      </c>
      <c r="D32" s="115">
        <f t="shared" ca="1" si="1"/>
        <v>3</v>
      </c>
      <c r="E32" s="120">
        <f t="shared" ca="1" si="6"/>
        <v>2.0833333333333333E-3</v>
      </c>
      <c r="F32" s="120">
        <f t="shared" ca="1" si="2"/>
        <v>0.39999999999999991</v>
      </c>
      <c r="G32" s="120">
        <f t="shared" ca="1" si="7"/>
        <v>0</v>
      </c>
      <c r="H32" s="115" t="str">
        <f t="shared" ca="1" si="3"/>
        <v/>
      </c>
      <c r="I32" s="120" t="str">
        <f t="shared" ca="1" si="4"/>
        <v/>
      </c>
      <c r="J32" s="120">
        <f ca="1">IF(ISTEXT($F32),"",MAX($P$19:P31,$F32))</f>
        <v>0.40416666666666656</v>
      </c>
      <c r="K32" s="120">
        <f ca="1">IF(ISTEXT($F32),"",MAX($R$19:R31,$F32))</f>
        <v>0.40486111111111101</v>
      </c>
      <c r="L32" s="120">
        <f t="shared" ca="1" si="22"/>
        <v>0.39999999999999991</v>
      </c>
      <c r="M32" s="120">
        <f t="shared" ca="1" si="8"/>
        <v>0.39999999999999991</v>
      </c>
      <c r="N32" s="115">
        <f t="shared" ca="1" si="9"/>
        <v>3</v>
      </c>
      <c r="O32" s="120" t="str">
        <f t="shared" ca="1" si="10"/>
        <v/>
      </c>
      <c r="P32" s="120">
        <f t="shared" ca="1" si="11"/>
        <v>0.40416666666666656</v>
      </c>
      <c r="Q32" s="120" t="str">
        <f t="shared" ca="1" si="12"/>
        <v/>
      </c>
      <c r="R32" s="120">
        <f t="shared" ca="1" si="13"/>
        <v>0.40486111111111101</v>
      </c>
      <c r="S32" s="120">
        <f t="shared" ca="1" si="14"/>
        <v>0.39999999999999991</v>
      </c>
      <c r="T32" s="120">
        <f t="shared" ca="1" si="15"/>
        <v>0.40208333333333324</v>
      </c>
      <c r="U32" s="120">
        <f t="shared" ca="1" si="16"/>
        <v>0</v>
      </c>
      <c r="V32" s="120">
        <f t="shared" ca="1" si="17"/>
        <v>2.0833333333333333E-3</v>
      </c>
      <c r="W32" s="120">
        <f t="shared" ca="1" si="18"/>
        <v>2.0833333333333259E-3</v>
      </c>
      <c r="X32" s="120">
        <f t="shared" ca="1" si="23"/>
        <v>2.0833333333333333E-3</v>
      </c>
      <c r="Y32" s="120">
        <f t="shared" ca="1" si="19"/>
        <v>0.40208333333333324</v>
      </c>
      <c r="Z32" s="115">
        <f t="shared" ca="1" si="20"/>
        <v>0</v>
      </c>
    </row>
    <row r="33" spans="1:26" x14ac:dyDescent="0.35">
      <c r="A33" s="115">
        <f t="shared" ca="1" si="21"/>
        <v>14</v>
      </c>
      <c r="B33" s="115">
        <f t="shared" ca="1" si="0"/>
        <v>10</v>
      </c>
      <c r="C33" s="120">
        <f t="shared" ca="1" si="5"/>
        <v>6.9444444444444441E-3</v>
      </c>
      <c r="D33" s="115">
        <f t="shared" ca="1" si="1"/>
        <v>8</v>
      </c>
      <c r="E33" s="120">
        <f t="shared" ca="1" si="6"/>
        <v>5.5555555555555558E-3</v>
      </c>
      <c r="F33" s="120">
        <f t="shared" ca="1" si="2"/>
        <v>0.40694444444444433</v>
      </c>
      <c r="G33" s="120">
        <f t="shared" ca="1" si="7"/>
        <v>0</v>
      </c>
      <c r="H33" s="115" t="str">
        <f t="shared" ca="1" si="3"/>
        <v/>
      </c>
      <c r="I33" s="120" t="str">
        <f t="shared" ca="1" si="4"/>
        <v/>
      </c>
      <c r="J33" s="120">
        <f ca="1">IF(ISTEXT($F33),"",MAX($P$19:P32,$F33))</f>
        <v>0.40694444444444433</v>
      </c>
      <c r="K33" s="120">
        <f ca="1">IF(ISTEXT($F33),"",MAX($R$19:R32,$F33))</f>
        <v>0.40694444444444433</v>
      </c>
      <c r="L33" s="120">
        <f t="shared" ca="1" si="22"/>
        <v>0.40694444444444433</v>
      </c>
      <c r="M33" s="120">
        <f t="shared" ca="1" si="8"/>
        <v>0.40694444444444433</v>
      </c>
      <c r="N33" s="115">
        <f t="shared" ca="1" si="9"/>
        <v>1</v>
      </c>
      <c r="O33" s="120">
        <f t="shared" ca="1" si="10"/>
        <v>0.40694444444444433</v>
      </c>
      <c r="P33" s="120">
        <f t="shared" ca="1" si="11"/>
        <v>0.41249999999999987</v>
      </c>
      <c r="Q33" s="120" t="str">
        <f t="shared" ca="1" si="12"/>
        <v/>
      </c>
      <c r="R33" s="120">
        <f t="shared" ca="1" si="13"/>
        <v>0.40486111111111101</v>
      </c>
      <c r="S33" s="120" t="str">
        <f t="shared" ca="1" si="14"/>
        <v/>
      </c>
      <c r="T33" s="120">
        <f t="shared" ca="1" si="15"/>
        <v>0.40208333333333324</v>
      </c>
      <c r="U33" s="120">
        <f t="shared" ca="1" si="16"/>
        <v>0</v>
      </c>
      <c r="V33" s="120">
        <f t="shared" ca="1" si="17"/>
        <v>5.5555555555555558E-3</v>
      </c>
      <c r="W33" s="120">
        <f t="shared" ca="1" si="18"/>
        <v>5.5555555555555358E-3</v>
      </c>
      <c r="X33" s="120">
        <f t="shared" ca="1" si="23"/>
        <v>5.5555555555555558E-3</v>
      </c>
      <c r="Y33" s="120">
        <f t="shared" ca="1" si="19"/>
        <v>0.41249999999999987</v>
      </c>
      <c r="Z33" s="115">
        <f t="shared" ca="1" si="20"/>
        <v>0</v>
      </c>
    </row>
    <row r="34" spans="1:26" x14ac:dyDescent="0.35">
      <c r="A34" s="115">
        <f t="shared" ca="1" si="21"/>
        <v>15</v>
      </c>
      <c r="B34" s="115">
        <f t="shared" ca="1" si="0"/>
        <v>10</v>
      </c>
      <c r="C34" s="120">
        <f t="shared" ca="1" si="5"/>
        <v>6.9444444444444441E-3</v>
      </c>
      <c r="D34" s="115">
        <f t="shared" ca="1" si="1"/>
        <v>7</v>
      </c>
      <c r="E34" s="120">
        <f t="shared" ca="1" si="6"/>
        <v>4.8611111111111112E-3</v>
      </c>
      <c r="F34" s="120">
        <f t="shared" ca="1" si="2"/>
        <v>0.41388888888888875</v>
      </c>
      <c r="G34" s="120">
        <f t="shared" ca="1" si="7"/>
        <v>0</v>
      </c>
      <c r="H34" s="115" t="str">
        <f t="shared" ca="1" si="3"/>
        <v/>
      </c>
      <c r="I34" s="120" t="str">
        <f t="shared" ca="1" si="4"/>
        <v/>
      </c>
      <c r="J34" s="120">
        <f ca="1">IF(ISTEXT($F34),"",MAX($P$19:P33,$F34))</f>
        <v>0.41388888888888875</v>
      </c>
      <c r="K34" s="120">
        <f ca="1">IF(ISTEXT($F34),"",MAX($R$19:R33,$F34))</f>
        <v>0.41388888888888875</v>
      </c>
      <c r="L34" s="120">
        <f t="shared" ca="1" si="22"/>
        <v>0.41388888888888875</v>
      </c>
      <c r="M34" s="120">
        <f t="shared" ca="1" si="8"/>
        <v>0.41388888888888875</v>
      </c>
      <c r="N34" s="115">
        <f t="shared" ca="1" si="9"/>
        <v>1</v>
      </c>
      <c r="O34" s="120">
        <f t="shared" ca="1" si="10"/>
        <v>0.41388888888888875</v>
      </c>
      <c r="P34" s="120">
        <f t="shared" ca="1" si="11"/>
        <v>0.41874999999999984</v>
      </c>
      <c r="Q34" s="120" t="str">
        <f ca="1">IF($N34=2,M34,"")</f>
        <v/>
      </c>
      <c r="R34" s="120">
        <f t="shared" ca="1" si="13"/>
        <v>0.40486111111111101</v>
      </c>
      <c r="S34" s="120" t="str">
        <f t="shared" ca="1" si="14"/>
        <v/>
      </c>
      <c r="T34" s="120">
        <f t="shared" ca="1" si="15"/>
        <v>0.40208333333333324</v>
      </c>
      <c r="U34" s="120">
        <f t="shared" ca="1" si="16"/>
        <v>0</v>
      </c>
      <c r="V34" s="120">
        <f t="shared" ca="1" si="17"/>
        <v>4.8611111111111112E-3</v>
      </c>
      <c r="W34" s="120">
        <f t="shared" ca="1" si="18"/>
        <v>4.8611111111110938E-3</v>
      </c>
      <c r="X34" s="120">
        <f t="shared" ca="1" si="23"/>
        <v>4.8611111111111112E-3</v>
      </c>
      <c r="Y34" s="120">
        <f t="shared" ca="1" si="19"/>
        <v>0.41874999999999984</v>
      </c>
      <c r="Z34" s="115">
        <f t="shared" ca="1" si="20"/>
        <v>0</v>
      </c>
    </row>
    <row r="35" spans="1:26" x14ac:dyDescent="0.35">
      <c r="A35" s="115">
        <f t="shared" ca="1" si="21"/>
        <v>16</v>
      </c>
      <c r="B35" s="115">
        <f t="shared" ca="1" si="0"/>
        <v>1</v>
      </c>
      <c r="C35" s="120">
        <f t="shared" ca="1" si="5"/>
        <v>6.9444444444444447E-4</v>
      </c>
      <c r="D35" s="115">
        <f t="shared" ca="1" si="1"/>
        <v>7</v>
      </c>
      <c r="E35" s="120">
        <f t="shared" ca="1" si="6"/>
        <v>4.8611111111111112E-3</v>
      </c>
      <c r="F35" s="120">
        <f t="shared" ca="1" si="2"/>
        <v>0.41458333333333319</v>
      </c>
      <c r="G35" s="120">
        <f t="shared" ca="1" si="7"/>
        <v>0</v>
      </c>
      <c r="H35" s="115" t="str">
        <f t="shared" ca="1" si="3"/>
        <v/>
      </c>
      <c r="I35" s="120" t="str">
        <f t="shared" ca="1" si="4"/>
        <v/>
      </c>
      <c r="J35" s="120">
        <f ca="1">IF(ISTEXT($F35),"",MAX($P$19:P34,$F35))</f>
        <v>0.41874999999999984</v>
      </c>
      <c r="K35" s="120">
        <f ca="1">IF(ISTEXT($F35),"",MAX($R$19:R34,$F35))</f>
        <v>0.41458333333333319</v>
      </c>
      <c r="L35" s="120">
        <f t="shared" ca="1" si="22"/>
        <v>0.41458333333333319</v>
      </c>
      <c r="M35" s="120">
        <f t="shared" ca="1" si="8"/>
        <v>0.41458333333333319</v>
      </c>
      <c r="N35" s="115">
        <f t="shared" ca="1" si="9"/>
        <v>2</v>
      </c>
      <c r="O35" s="120" t="str">
        <f t="shared" ca="1" si="10"/>
        <v/>
      </c>
      <c r="P35" s="120">
        <f t="shared" ca="1" si="11"/>
        <v>0.41874999999999984</v>
      </c>
      <c r="Q35" s="120">
        <f t="shared" ca="1" si="12"/>
        <v>0.41458333333333319</v>
      </c>
      <c r="R35" s="120">
        <f t="shared" ca="1" si="13"/>
        <v>0.41944444444444429</v>
      </c>
      <c r="S35" s="120" t="str">
        <f t="shared" ca="1" si="14"/>
        <v/>
      </c>
      <c r="T35" s="120">
        <f t="shared" ca="1" si="15"/>
        <v>0.40208333333333324</v>
      </c>
      <c r="U35" s="120">
        <f t="shared" ca="1" si="16"/>
        <v>0</v>
      </c>
      <c r="V35" s="120">
        <f t="shared" ca="1" si="17"/>
        <v>4.8611111111111112E-3</v>
      </c>
      <c r="W35" s="120">
        <f t="shared" ca="1" si="18"/>
        <v>4.8611111111110938E-3</v>
      </c>
      <c r="X35" s="120">
        <f ca="1">IFERROR(IF(H35="Ушел",W35,$E35+G35),"")</f>
        <v>4.8611111111111112E-3</v>
      </c>
      <c r="Y35" s="120">
        <f t="shared" ca="1" si="19"/>
        <v>0.41944444444444429</v>
      </c>
      <c r="Z35" s="115">
        <f t="shared" ca="1" si="20"/>
        <v>0</v>
      </c>
    </row>
    <row r="36" spans="1:26" x14ac:dyDescent="0.35">
      <c r="A36" s="115">
        <f t="shared" ca="1" si="21"/>
        <v>17</v>
      </c>
      <c r="B36" s="115">
        <f t="shared" ca="1" si="0"/>
        <v>1</v>
      </c>
      <c r="C36" s="120">
        <f t="shared" ca="1" si="5"/>
        <v>6.9444444444444447E-4</v>
      </c>
      <c r="D36" s="115">
        <f t="shared" ca="1" si="1"/>
        <v>7</v>
      </c>
      <c r="E36" s="120">
        <f t="shared" ca="1" si="6"/>
        <v>4.8611111111111112E-3</v>
      </c>
      <c r="F36" s="120">
        <f t="shared" ca="1" si="2"/>
        <v>0.41527777777777763</v>
      </c>
      <c r="G36" s="120">
        <f t="shared" ca="1" si="7"/>
        <v>0</v>
      </c>
      <c r="H36" s="115" t="str">
        <f t="shared" ca="1" si="3"/>
        <v/>
      </c>
      <c r="I36" s="120" t="str">
        <f t="shared" ca="1" si="4"/>
        <v/>
      </c>
      <c r="J36" s="120">
        <f ca="1">IF(ISTEXT($F36),"",MAX($P$19:P35,$F36))</f>
        <v>0.41874999999999984</v>
      </c>
      <c r="K36" s="120">
        <f ca="1">IF(ISTEXT($F36),"",MAX($R$19:R35,$F36))</f>
        <v>0.41944444444444429</v>
      </c>
      <c r="L36" s="120">
        <f t="shared" ca="1" si="22"/>
        <v>0.41527777777777763</v>
      </c>
      <c r="M36" s="120">
        <f t="shared" ca="1" si="8"/>
        <v>0.41527777777777763</v>
      </c>
      <c r="N36" s="115">
        <f t="shared" ca="1" si="9"/>
        <v>3</v>
      </c>
      <c r="O36" s="120" t="str">
        <f t="shared" ca="1" si="10"/>
        <v/>
      </c>
      <c r="P36" s="120">
        <f t="shared" ca="1" si="11"/>
        <v>0.41874999999999984</v>
      </c>
      <c r="Q36" s="120" t="str">
        <f t="shared" ca="1" si="12"/>
        <v/>
      </c>
      <c r="R36" s="120">
        <f t="shared" ca="1" si="13"/>
        <v>0.41944444444444429</v>
      </c>
      <c r="S36" s="120">
        <f t="shared" ca="1" si="14"/>
        <v>0.41527777777777763</v>
      </c>
      <c r="T36" s="120">
        <f t="shared" ca="1" si="15"/>
        <v>0.42013888888888873</v>
      </c>
      <c r="U36" s="120">
        <f t="shared" ca="1" si="16"/>
        <v>0</v>
      </c>
      <c r="V36" s="120">
        <f t="shared" ca="1" si="17"/>
        <v>4.8611111111111112E-3</v>
      </c>
      <c r="W36" s="120">
        <f t="shared" ca="1" si="18"/>
        <v>4.8611111111110938E-3</v>
      </c>
      <c r="X36" s="120">
        <f t="shared" ca="1" si="23"/>
        <v>4.8611111111111112E-3</v>
      </c>
      <c r="Y36" s="120">
        <f t="shared" ca="1" si="19"/>
        <v>0.42013888888888873</v>
      </c>
      <c r="Z36" s="115">
        <f t="shared" ca="1" si="20"/>
        <v>0</v>
      </c>
    </row>
    <row r="37" spans="1:26" x14ac:dyDescent="0.35">
      <c r="A37" s="115">
        <f t="shared" ca="1" si="21"/>
        <v>18</v>
      </c>
      <c r="B37" s="115">
        <f t="shared" ca="1" si="0"/>
        <v>10</v>
      </c>
      <c r="C37" s="120">
        <f t="shared" ca="1" si="5"/>
        <v>6.9444444444444441E-3</v>
      </c>
      <c r="D37" s="115">
        <f t="shared" ca="1" si="1"/>
        <v>3</v>
      </c>
      <c r="E37" s="120">
        <f t="shared" ca="1" si="6"/>
        <v>2.0833333333333333E-3</v>
      </c>
      <c r="F37" s="120">
        <f t="shared" ca="1" si="2"/>
        <v>0.42222222222222205</v>
      </c>
      <c r="G37" s="120">
        <f t="shared" ca="1" si="7"/>
        <v>0</v>
      </c>
      <c r="H37" s="115" t="str">
        <f t="shared" ca="1" si="3"/>
        <v/>
      </c>
      <c r="I37" s="120" t="str">
        <f t="shared" ca="1" si="4"/>
        <v/>
      </c>
      <c r="J37" s="120">
        <f ca="1">IF(ISTEXT($F37),"",MAX($P$19:P36,$F37))</f>
        <v>0.42222222222222205</v>
      </c>
      <c r="K37" s="120">
        <f ca="1">IF(ISTEXT($F37),"",MAX($R$19:R36,$F37))</f>
        <v>0.42222222222222205</v>
      </c>
      <c r="L37" s="120">
        <f t="shared" ca="1" si="22"/>
        <v>0.42222222222222205</v>
      </c>
      <c r="M37" s="120">
        <f t="shared" ca="1" si="8"/>
        <v>0.42222222222222205</v>
      </c>
      <c r="N37" s="115">
        <f t="shared" ca="1" si="9"/>
        <v>1</v>
      </c>
      <c r="O37" s="120">
        <f t="shared" ca="1" si="10"/>
        <v>0.42222222222222205</v>
      </c>
      <c r="P37" s="120">
        <f t="shared" ca="1" si="11"/>
        <v>0.42430555555555538</v>
      </c>
      <c r="Q37" s="120" t="str">
        <f t="shared" ca="1" si="12"/>
        <v/>
      </c>
      <c r="R37" s="120">
        <f t="shared" ca="1" si="13"/>
        <v>0.41944444444444429</v>
      </c>
      <c r="S37" s="120" t="str">
        <f t="shared" ca="1" si="14"/>
        <v/>
      </c>
      <c r="T37" s="120">
        <f t="shared" ca="1" si="15"/>
        <v>0.42013888888888873</v>
      </c>
      <c r="U37" s="120">
        <f t="shared" ca="1" si="16"/>
        <v>0</v>
      </c>
      <c r="V37" s="120">
        <f t="shared" ca="1" si="17"/>
        <v>2.0833333333333333E-3</v>
      </c>
      <c r="W37" s="120">
        <f t="shared" ca="1" si="18"/>
        <v>2.0833333333333259E-3</v>
      </c>
      <c r="X37" s="120">
        <f t="shared" ca="1" si="23"/>
        <v>2.0833333333333333E-3</v>
      </c>
      <c r="Y37" s="120">
        <f t="shared" ca="1" si="19"/>
        <v>0.42430555555555538</v>
      </c>
      <c r="Z37" s="115">
        <f t="shared" ca="1" si="20"/>
        <v>0</v>
      </c>
    </row>
    <row r="38" spans="1:26" x14ac:dyDescent="0.35">
      <c r="A38" s="115">
        <f t="shared" ca="1" si="21"/>
        <v>19</v>
      </c>
      <c r="B38" s="115">
        <f t="shared" ca="1" si="0"/>
        <v>1</v>
      </c>
      <c r="C38" s="120">
        <f t="shared" ca="1" si="5"/>
        <v>6.9444444444444447E-4</v>
      </c>
      <c r="D38" s="115">
        <f t="shared" ca="1" si="1"/>
        <v>7</v>
      </c>
      <c r="E38" s="120">
        <f t="shared" ca="1" si="6"/>
        <v>4.8611111111111112E-3</v>
      </c>
      <c r="F38" s="120">
        <f t="shared" ca="1" si="2"/>
        <v>0.4229166666666665</v>
      </c>
      <c r="G38" s="120">
        <f t="shared" ca="1" si="7"/>
        <v>0</v>
      </c>
      <c r="H38" s="115" t="str">
        <f t="shared" ca="1" si="3"/>
        <v/>
      </c>
      <c r="I38" s="120" t="str">
        <f t="shared" ca="1" si="4"/>
        <v/>
      </c>
      <c r="J38" s="120">
        <f ca="1">IF(ISTEXT($F38),"",MAX($P$19:P37,$F38))</f>
        <v>0.42430555555555538</v>
      </c>
      <c r="K38" s="120">
        <f ca="1">IF(ISTEXT($F38),"",MAX($R$19:R37,$F38))</f>
        <v>0.4229166666666665</v>
      </c>
      <c r="L38" s="120">
        <f t="shared" ca="1" si="22"/>
        <v>0.4229166666666665</v>
      </c>
      <c r="M38" s="120">
        <f t="shared" ca="1" si="8"/>
        <v>0.4229166666666665</v>
      </c>
      <c r="N38" s="115">
        <f t="shared" ca="1" si="9"/>
        <v>2</v>
      </c>
      <c r="O38" s="120" t="str">
        <f t="shared" ca="1" si="10"/>
        <v/>
      </c>
      <c r="P38" s="120">
        <f t="shared" ca="1" si="11"/>
        <v>0.42430555555555538</v>
      </c>
      <c r="Q38" s="120">
        <f t="shared" ca="1" si="12"/>
        <v>0.4229166666666665</v>
      </c>
      <c r="R38" s="120">
        <f t="shared" ca="1" si="13"/>
        <v>0.42777777777777759</v>
      </c>
      <c r="S38" s="120" t="str">
        <f t="shared" ca="1" si="14"/>
        <v/>
      </c>
      <c r="T38" s="120">
        <f t="shared" ca="1" si="15"/>
        <v>0.42013888888888873</v>
      </c>
      <c r="U38" s="120">
        <f t="shared" ca="1" si="16"/>
        <v>0</v>
      </c>
      <c r="V38" s="120">
        <f t="shared" ca="1" si="17"/>
        <v>4.8611111111111112E-3</v>
      </c>
      <c r="W38" s="120">
        <f t="shared" ca="1" si="18"/>
        <v>4.8611111111110938E-3</v>
      </c>
      <c r="X38" s="120">
        <f t="shared" ca="1" si="23"/>
        <v>4.8611111111111112E-3</v>
      </c>
      <c r="Y38" s="120">
        <f t="shared" ca="1" si="19"/>
        <v>0.42777777777777759</v>
      </c>
      <c r="Z38" s="115">
        <f t="shared" ca="1" si="20"/>
        <v>0</v>
      </c>
    </row>
    <row r="39" spans="1:26" x14ac:dyDescent="0.35">
      <c r="A39" s="115">
        <f t="shared" ca="1" si="21"/>
        <v>20</v>
      </c>
      <c r="B39" s="115">
        <f t="shared" ca="1" si="0"/>
        <v>1</v>
      </c>
      <c r="C39" s="120">
        <f t="shared" ca="1" si="5"/>
        <v>6.9444444444444447E-4</v>
      </c>
      <c r="D39" s="115">
        <f t="shared" ca="1" si="1"/>
        <v>7</v>
      </c>
      <c r="E39" s="120">
        <f t="shared" ca="1" si="6"/>
        <v>4.8611111111111112E-3</v>
      </c>
      <c r="F39" s="120">
        <f t="shared" ca="1" si="2"/>
        <v>0.42361111111111094</v>
      </c>
      <c r="G39" s="120">
        <f t="shared" ca="1" si="7"/>
        <v>0</v>
      </c>
      <c r="H39" s="115" t="str">
        <f t="shared" ca="1" si="3"/>
        <v/>
      </c>
      <c r="I39" s="120" t="str">
        <f t="shared" ca="1" si="4"/>
        <v/>
      </c>
      <c r="J39" s="120">
        <f ca="1">IF(ISTEXT($F39),"",MAX($P$19:P38,$F39))</f>
        <v>0.42430555555555538</v>
      </c>
      <c r="K39" s="120">
        <f ca="1">IF(ISTEXT($F39),"",MAX($R$19:R38,$F39))</f>
        <v>0.42777777777777759</v>
      </c>
      <c r="L39" s="120">
        <f t="shared" ca="1" si="22"/>
        <v>0.42361111111111094</v>
      </c>
      <c r="M39" s="120">
        <f t="shared" ca="1" si="8"/>
        <v>0.42361111111111094</v>
      </c>
      <c r="N39" s="115">
        <f t="shared" ca="1" si="9"/>
        <v>3</v>
      </c>
      <c r="O39" s="120" t="str">
        <f t="shared" ca="1" si="10"/>
        <v/>
      </c>
      <c r="P39" s="120">
        <f t="shared" ca="1" si="11"/>
        <v>0.42430555555555538</v>
      </c>
      <c r="Q39" s="120" t="str">
        <f t="shared" ca="1" si="12"/>
        <v/>
      </c>
      <c r="R39" s="120">
        <f t="shared" ca="1" si="13"/>
        <v>0.42777777777777759</v>
      </c>
      <c r="S39" s="120">
        <f t="shared" ca="1" si="14"/>
        <v>0.42361111111111094</v>
      </c>
      <c r="T39" s="120">
        <f t="shared" ca="1" si="15"/>
        <v>0.42847222222222203</v>
      </c>
      <c r="U39" s="120">
        <f t="shared" ca="1" si="16"/>
        <v>0</v>
      </c>
      <c r="V39" s="120">
        <f t="shared" ca="1" si="17"/>
        <v>4.8611111111111112E-3</v>
      </c>
      <c r="W39" s="120">
        <f t="shared" ca="1" si="18"/>
        <v>4.8611111111110938E-3</v>
      </c>
      <c r="X39" s="120">
        <f t="shared" ca="1" si="23"/>
        <v>4.8611111111111112E-3</v>
      </c>
      <c r="Y39" s="120">
        <f t="shared" ca="1" si="19"/>
        <v>0.42847222222222203</v>
      </c>
      <c r="Z39" s="115">
        <f t="shared" ca="1" si="20"/>
        <v>0</v>
      </c>
    </row>
    <row r="40" spans="1:26" x14ac:dyDescent="0.35">
      <c r="A40" s="115">
        <f t="shared" ca="1" si="21"/>
        <v>21</v>
      </c>
      <c r="B40" s="115">
        <f t="shared" ca="1" si="0"/>
        <v>3</v>
      </c>
      <c r="C40" s="120">
        <f t="shared" ca="1" si="5"/>
        <v>2.0833333333333333E-3</v>
      </c>
      <c r="D40" s="115">
        <f t="shared" ca="1" si="1"/>
        <v>7</v>
      </c>
      <c r="E40" s="120">
        <f t="shared" ca="1" si="6"/>
        <v>4.8611111111111112E-3</v>
      </c>
      <c r="F40" s="120">
        <f t="shared" ca="1" si="2"/>
        <v>0.42569444444444426</v>
      </c>
      <c r="G40" s="120">
        <f t="shared" ca="1" si="7"/>
        <v>0</v>
      </c>
      <c r="H40" s="115" t="str">
        <f t="shared" ca="1" si="3"/>
        <v/>
      </c>
      <c r="I40" s="120" t="str">
        <f t="shared" ca="1" si="4"/>
        <v/>
      </c>
      <c r="J40" s="120">
        <f ca="1">IF(ISTEXT($F40),"",MAX($P$19:P39,$F40))</f>
        <v>0.42569444444444426</v>
      </c>
      <c r="K40" s="120">
        <f ca="1">IF(ISTEXT($F40),"",MAX($R$19:R39,$F40))</f>
        <v>0.42777777777777759</v>
      </c>
      <c r="L40" s="120">
        <f t="shared" ca="1" si="22"/>
        <v>0.42847222222222203</v>
      </c>
      <c r="M40" s="120">
        <f t="shared" ca="1" si="8"/>
        <v>0.42569444444444426</v>
      </c>
      <c r="N40" s="115">
        <f t="shared" ca="1" si="9"/>
        <v>1</v>
      </c>
      <c r="O40" s="120">
        <f t="shared" ca="1" si="10"/>
        <v>0.42569444444444426</v>
      </c>
      <c r="P40" s="120">
        <f t="shared" ca="1" si="11"/>
        <v>0.43055555555555536</v>
      </c>
      <c r="Q40" s="120" t="str">
        <f t="shared" ca="1" si="12"/>
        <v/>
      </c>
      <c r="R40" s="120">
        <f t="shared" ca="1" si="13"/>
        <v>0.42777777777777759</v>
      </c>
      <c r="S40" s="120" t="str">
        <f t="shared" ca="1" si="14"/>
        <v/>
      </c>
      <c r="T40" s="120">
        <f t="shared" ca="1" si="15"/>
        <v>0.42847222222222203</v>
      </c>
      <c r="U40" s="120">
        <f t="shared" ca="1" si="16"/>
        <v>0</v>
      </c>
      <c r="V40" s="120">
        <f t="shared" ca="1" si="17"/>
        <v>4.8611111111111112E-3</v>
      </c>
      <c r="W40" s="120">
        <f t="shared" ca="1" si="18"/>
        <v>4.8611111111110938E-3</v>
      </c>
      <c r="X40" s="120">
        <f t="shared" ca="1" si="23"/>
        <v>4.8611111111111112E-3</v>
      </c>
      <c r="Y40" s="120">
        <f t="shared" ca="1" si="19"/>
        <v>0.43055555555555536</v>
      </c>
      <c r="Z40" s="115">
        <f ca="1">COUNTIF($M$19:$M$19,"&gt;"&amp;$F40)</f>
        <v>0</v>
      </c>
    </row>
    <row r="41" spans="1:26" x14ac:dyDescent="0.35">
      <c r="A41" s="115">
        <f ca="1">IF(ISTEXT(F41),"Закрыто",A40+1)</f>
        <v>22</v>
      </c>
      <c r="B41" s="115">
        <f t="shared" ca="1" si="0"/>
        <v>3</v>
      </c>
      <c r="C41" s="120">
        <f t="shared" ca="1" si="5"/>
        <v>2.0833333333333333E-3</v>
      </c>
      <c r="D41" s="115">
        <f t="shared" ca="1" si="1"/>
        <v>8</v>
      </c>
      <c r="E41" s="120">
        <f t="shared" ca="1" si="6"/>
        <v>5.5555555555555558E-3</v>
      </c>
      <c r="F41" s="120">
        <f t="shared" ca="1" si="2"/>
        <v>0.42777777777777759</v>
      </c>
      <c r="G41" s="120">
        <f t="shared" ca="1" si="7"/>
        <v>0</v>
      </c>
      <c r="H41" s="115" t="str">
        <f t="shared" ca="1" si="3"/>
        <v/>
      </c>
      <c r="I41" s="120" t="str">
        <f t="shared" ca="1" si="4"/>
        <v/>
      </c>
      <c r="J41" s="120">
        <f ca="1">IF(ISTEXT($F41),"",MAX($P$19:P40,$F41))</f>
        <v>0.43055555555555536</v>
      </c>
      <c r="K41" s="120">
        <f ca="1">IF(ISTEXT($F41),"",MAX($R$19:R40,$F41))</f>
        <v>0.42777777777777759</v>
      </c>
      <c r="L41" s="120">
        <f t="shared" ca="1" si="22"/>
        <v>0.42847222222222203</v>
      </c>
      <c r="M41" s="120">
        <f ca="1">IF(ISTEXT(F41),"",MIN(J41:L41))</f>
        <v>0.42777777777777759</v>
      </c>
      <c r="N41" s="115">
        <f t="shared" ca="1" si="9"/>
        <v>2</v>
      </c>
      <c r="O41" s="120" t="str">
        <f t="shared" ca="1" si="10"/>
        <v/>
      </c>
      <c r="P41" s="120">
        <f t="shared" ca="1" si="11"/>
        <v>0.43055555555555536</v>
      </c>
      <c r="Q41" s="120">
        <f t="shared" ca="1" si="12"/>
        <v>0.42777777777777759</v>
      </c>
      <c r="R41" s="120">
        <f t="shared" ca="1" si="13"/>
        <v>0.43333333333333313</v>
      </c>
      <c r="S41" s="120" t="str">
        <f t="shared" ca="1" si="14"/>
        <v/>
      </c>
      <c r="T41" s="120">
        <f t="shared" ca="1" si="15"/>
        <v>0.42847222222222203</v>
      </c>
      <c r="U41" s="120">
        <f t="shared" ca="1" si="16"/>
        <v>0</v>
      </c>
      <c r="V41" s="120">
        <f t="shared" ca="1" si="17"/>
        <v>5.5555555555555558E-3</v>
      </c>
      <c r="W41" s="120">
        <f t="shared" ca="1" si="18"/>
        <v>5.5555555555555358E-3</v>
      </c>
      <c r="X41" s="120">
        <f t="shared" ca="1" si="23"/>
        <v>5.5555555555555558E-3</v>
      </c>
      <c r="Y41" s="120">
        <f t="shared" ca="1" si="19"/>
        <v>0.43333333333333313</v>
      </c>
      <c r="Z41" s="115">
        <f t="shared" ca="1" si="20"/>
        <v>0</v>
      </c>
    </row>
    <row r="42" spans="1:26" x14ac:dyDescent="0.35">
      <c r="A42" s="115">
        <f t="shared" ca="1" si="21"/>
        <v>23</v>
      </c>
      <c r="B42" s="115">
        <f t="shared" ca="1" si="0"/>
        <v>1</v>
      </c>
      <c r="C42" s="120">
        <f t="shared" ca="1" si="5"/>
        <v>6.9444444444444447E-4</v>
      </c>
      <c r="D42" s="115">
        <f t="shared" ca="1" si="1"/>
        <v>8</v>
      </c>
      <c r="E42" s="120">
        <f t="shared" ca="1" si="6"/>
        <v>5.5555555555555558E-3</v>
      </c>
      <c r="F42" s="120">
        <f t="shared" ca="1" si="2"/>
        <v>0.42847222222222203</v>
      </c>
      <c r="G42" s="120">
        <f t="shared" ca="1" si="7"/>
        <v>0</v>
      </c>
      <c r="H42" s="115" t="str">
        <f t="shared" ca="1" si="3"/>
        <v/>
      </c>
      <c r="I42" s="120" t="str">
        <f t="shared" ca="1" si="4"/>
        <v/>
      </c>
      <c r="J42" s="120">
        <f ca="1">IF(ISTEXT($F42),"",MAX($P$19:P41,$F42))</f>
        <v>0.43055555555555536</v>
      </c>
      <c r="K42" s="120">
        <f ca="1">IF(ISTEXT($F42),"",MAX($R$19:R41,$F42))</f>
        <v>0.43333333333333313</v>
      </c>
      <c r="L42" s="120">
        <f t="shared" ca="1" si="22"/>
        <v>0.42847222222222203</v>
      </c>
      <c r="M42" s="120">
        <f t="shared" ca="1" si="8"/>
        <v>0.42847222222222203</v>
      </c>
      <c r="N42" s="115">
        <f t="shared" ca="1" si="9"/>
        <v>3</v>
      </c>
      <c r="O42" s="120" t="str">
        <f t="shared" ca="1" si="10"/>
        <v/>
      </c>
      <c r="P42" s="120">
        <f t="shared" ca="1" si="11"/>
        <v>0.43055555555555536</v>
      </c>
      <c r="Q42" s="120" t="str">
        <f t="shared" ca="1" si="12"/>
        <v/>
      </c>
      <c r="R42" s="120">
        <f t="shared" ca="1" si="13"/>
        <v>0.43333333333333313</v>
      </c>
      <c r="S42" s="120">
        <f t="shared" ca="1" si="14"/>
        <v>0.42847222222222203</v>
      </c>
      <c r="T42" s="120">
        <f t="shared" ca="1" si="15"/>
        <v>0.43402777777777757</v>
      </c>
      <c r="U42" s="120">
        <f t="shared" ca="1" si="16"/>
        <v>0</v>
      </c>
      <c r="V42" s="120">
        <f t="shared" ca="1" si="17"/>
        <v>5.5555555555555558E-3</v>
      </c>
      <c r="W42" s="120">
        <f ca="1">IFERROR(Y42-F42,"")</f>
        <v>5.5555555555555358E-3</v>
      </c>
      <c r="X42" s="120">
        <f t="shared" ca="1" si="23"/>
        <v>5.5555555555555558E-3</v>
      </c>
      <c r="Y42" s="120">
        <f t="shared" ca="1" si="19"/>
        <v>0.43402777777777757</v>
      </c>
      <c r="Z42" s="115">
        <f t="shared" ca="1" si="20"/>
        <v>0</v>
      </c>
    </row>
    <row r="43" spans="1:26" x14ac:dyDescent="0.35">
      <c r="A43" s="115">
        <f t="shared" ca="1" si="21"/>
        <v>24</v>
      </c>
      <c r="B43" s="115">
        <f t="shared" ca="1" si="0"/>
        <v>3</v>
      </c>
      <c r="C43" s="120">
        <f ca="1">B43/1440</f>
        <v>2.0833333333333333E-3</v>
      </c>
      <c r="D43" s="115">
        <f t="shared" ca="1" si="1"/>
        <v>3</v>
      </c>
      <c r="E43" s="120">
        <f ca="1">D43/1440</f>
        <v>2.0833333333333333E-3</v>
      </c>
      <c r="F43" s="120">
        <f t="shared" ca="1" si="2"/>
        <v>0.43055555555555536</v>
      </c>
      <c r="G43" s="120">
        <f t="shared" ca="1" si="7"/>
        <v>0</v>
      </c>
      <c r="H43" s="115" t="str">
        <f t="shared" ca="1" si="3"/>
        <v/>
      </c>
      <c r="I43" s="120" t="str">
        <f t="shared" ca="1" si="4"/>
        <v/>
      </c>
      <c r="J43" s="120">
        <f ca="1">IF(ISTEXT($F43),"",MAX($P$19:P42,$F43))</f>
        <v>0.43055555555555536</v>
      </c>
      <c r="K43" s="120">
        <f ca="1">IF(ISTEXT($F43),"",MAX($R$19:R42,$F43))</f>
        <v>0.43333333333333313</v>
      </c>
      <c r="L43" s="120">
        <f t="shared" ca="1" si="22"/>
        <v>0.43402777777777757</v>
      </c>
      <c r="M43" s="120">
        <f t="shared" ca="1" si="8"/>
        <v>0.43055555555555536</v>
      </c>
      <c r="N43" s="115">
        <f t="shared" ca="1" si="9"/>
        <v>1</v>
      </c>
      <c r="O43" s="120">
        <f t="shared" ca="1" si="10"/>
        <v>0.43055555555555536</v>
      </c>
      <c r="P43" s="120">
        <f t="shared" ca="1" si="11"/>
        <v>0.43263888888888868</v>
      </c>
      <c r="Q43" s="120" t="str">
        <f t="shared" ca="1" si="12"/>
        <v/>
      </c>
      <c r="R43" s="120">
        <f t="shared" ca="1" si="13"/>
        <v>0.43333333333333313</v>
      </c>
      <c r="S43" s="120" t="str">
        <f t="shared" ca="1" si="14"/>
        <v/>
      </c>
      <c r="T43" s="120">
        <f t="shared" ca="1" si="15"/>
        <v>0.43402777777777757</v>
      </c>
      <c r="U43" s="120">
        <f t="shared" ca="1" si="16"/>
        <v>0</v>
      </c>
      <c r="V43" s="120">
        <f t="shared" ca="1" si="17"/>
        <v>2.0833333333333333E-3</v>
      </c>
      <c r="W43" s="120">
        <f t="shared" ca="1" si="18"/>
        <v>2.0833333333333259E-3</v>
      </c>
      <c r="X43" s="120">
        <f t="shared" ca="1" si="23"/>
        <v>2.0833333333333333E-3</v>
      </c>
      <c r="Y43" s="120">
        <f t="shared" ca="1" si="19"/>
        <v>0.43263888888888868</v>
      </c>
      <c r="Z43" s="115">
        <f t="shared" ca="1" si="20"/>
        <v>0</v>
      </c>
    </row>
    <row r="44" spans="1:26" x14ac:dyDescent="0.35">
      <c r="A44" s="115">
        <f t="shared" ca="1" si="21"/>
        <v>25</v>
      </c>
      <c r="B44" s="115">
        <f t="shared" ca="1" si="0"/>
        <v>3</v>
      </c>
      <c r="C44" s="120">
        <f t="shared" ca="1" si="5"/>
        <v>2.0833333333333333E-3</v>
      </c>
      <c r="D44" s="115">
        <f t="shared" ca="1" si="1"/>
        <v>3</v>
      </c>
      <c r="E44" s="120">
        <f t="shared" ca="1" si="6"/>
        <v>2.0833333333333333E-3</v>
      </c>
      <c r="F44" s="120">
        <f t="shared" ca="1" si="2"/>
        <v>0.43263888888888868</v>
      </c>
      <c r="G44" s="120">
        <f t="shared" ca="1" si="7"/>
        <v>0</v>
      </c>
      <c r="H44" s="115" t="str">
        <f t="shared" ca="1" si="3"/>
        <v/>
      </c>
      <c r="I44" s="120" t="str">
        <f t="shared" ca="1" si="4"/>
        <v/>
      </c>
      <c r="J44" s="120">
        <f ca="1">IF(ISTEXT($F44),"",MAX($P$19:P43,$F44))</f>
        <v>0.43263888888888868</v>
      </c>
      <c r="K44" s="120">
        <f ca="1">IF(ISTEXT($F44),"",MAX($R$19:R43,$F44))</f>
        <v>0.43333333333333313</v>
      </c>
      <c r="L44" s="120">
        <f t="shared" ca="1" si="22"/>
        <v>0.43402777777777757</v>
      </c>
      <c r="M44" s="120">
        <f t="shared" ca="1" si="8"/>
        <v>0.43263888888888868</v>
      </c>
      <c r="N44" s="115">
        <f t="shared" ca="1" si="9"/>
        <v>1</v>
      </c>
      <c r="O44" s="120">
        <f t="shared" ca="1" si="10"/>
        <v>0.43263888888888868</v>
      </c>
      <c r="P44" s="120">
        <f t="shared" ca="1" si="11"/>
        <v>0.43472222222222201</v>
      </c>
      <c r="Q44" s="120" t="str">
        <f t="shared" ca="1" si="12"/>
        <v/>
      </c>
      <c r="R44" s="120">
        <f t="shared" ca="1" si="13"/>
        <v>0.43333333333333313</v>
      </c>
      <c r="S44" s="120" t="str">
        <f t="shared" ca="1" si="14"/>
        <v/>
      </c>
      <c r="T44" s="120">
        <f t="shared" ca="1" si="15"/>
        <v>0.43402777777777757</v>
      </c>
      <c r="U44" s="120">
        <f t="shared" ca="1" si="16"/>
        <v>0</v>
      </c>
      <c r="V44" s="120">
        <f t="shared" ca="1" si="17"/>
        <v>2.0833333333333333E-3</v>
      </c>
      <c r="W44" s="120">
        <f t="shared" ca="1" si="18"/>
        <v>2.0833333333333259E-3</v>
      </c>
      <c r="X44" s="120">
        <f t="shared" ca="1" si="23"/>
        <v>2.0833333333333333E-3</v>
      </c>
      <c r="Y44" s="120">
        <f t="shared" ca="1" si="19"/>
        <v>0.43472222222222201</v>
      </c>
      <c r="Z44" s="115">
        <f t="shared" ca="1" si="20"/>
        <v>0</v>
      </c>
    </row>
    <row r="45" spans="1:26" x14ac:dyDescent="0.35">
      <c r="A45" s="115">
        <f t="shared" ca="1" si="21"/>
        <v>26</v>
      </c>
      <c r="B45" s="115">
        <f t="shared" ca="1" si="0"/>
        <v>1</v>
      </c>
      <c r="C45" s="120">
        <f t="shared" ca="1" si="5"/>
        <v>6.9444444444444447E-4</v>
      </c>
      <c r="D45" s="115">
        <f t="shared" ca="1" si="1"/>
        <v>7</v>
      </c>
      <c r="E45" s="120">
        <f t="shared" ca="1" si="6"/>
        <v>4.8611111111111112E-3</v>
      </c>
      <c r="F45" s="120">
        <f t="shared" ca="1" si="2"/>
        <v>0.43333333333333313</v>
      </c>
      <c r="G45" s="120">
        <f ca="1">IF(ISTEXT(F45),"",M45-F45)</f>
        <v>0</v>
      </c>
      <c r="H45" s="115" t="str">
        <f t="shared" ca="1" si="3"/>
        <v/>
      </c>
      <c r="I45" s="120" t="str">
        <f t="shared" ca="1" si="4"/>
        <v/>
      </c>
      <c r="J45" s="120">
        <f ca="1">IF(ISTEXT($F45),"",MAX($P$19:P44,$F45))</f>
        <v>0.43472222222222201</v>
      </c>
      <c r="K45" s="120">
        <f ca="1">IF(ISTEXT($F45),"",MAX($R$19:R44,$F45))</f>
        <v>0.43333333333333313</v>
      </c>
      <c r="L45" s="120">
        <f t="shared" ca="1" si="22"/>
        <v>0.43402777777777757</v>
      </c>
      <c r="M45" s="120">
        <f t="shared" ca="1" si="8"/>
        <v>0.43333333333333313</v>
      </c>
      <c r="N45" s="115">
        <f t="shared" ca="1" si="9"/>
        <v>2</v>
      </c>
      <c r="O45" s="120" t="str">
        <f t="shared" ca="1" si="10"/>
        <v/>
      </c>
      <c r="P45" s="120">
        <f t="shared" ca="1" si="11"/>
        <v>0.43472222222222201</v>
      </c>
      <c r="Q45" s="120">
        <f t="shared" ca="1" si="12"/>
        <v>0.43333333333333313</v>
      </c>
      <c r="R45" s="120">
        <f t="shared" ca="1" si="13"/>
        <v>0.43819444444444422</v>
      </c>
      <c r="S45" s="120" t="str">
        <f t="shared" ca="1" si="14"/>
        <v/>
      </c>
      <c r="T45" s="120">
        <f t="shared" ca="1" si="15"/>
        <v>0.43402777777777757</v>
      </c>
      <c r="U45" s="120">
        <f t="shared" ca="1" si="16"/>
        <v>0</v>
      </c>
      <c r="V45" s="120">
        <f t="shared" ca="1" si="17"/>
        <v>4.8611111111111112E-3</v>
      </c>
      <c r="W45" s="120">
        <f t="shared" ca="1" si="18"/>
        <v>4.8611111111110938E-3</v>
      </c>
      <c r="X45" s="120">
        <f t="shared" ca="1" si="23"/>
        <v>4.8611111111111112E-3</v>
      </c>
      <c r="Y45" s="120">
        <f t="shared" ca="1" si="19"/>
        <v>0.43819444444444422</v>
      </c>
      <c r="Z45" s="115">
        <f t="shared" ca="1" si="20"/>
        <v>0</v>
      </c>
    </row>
    <row r="46" spans="1:26" x14ac:dyDescent="0.35">
      <c r="A46" s="115">
        <f t="shared" ca="1" si="21"/>
        <v>27</v>
      </c>
      <c r="B46" s="115">
        <f t="shared" ca="1" si="0"/>
        <v>1</v>
      </c>
      <c r="C46" s="120">
        <f t="shared" ca="1" si="5"/>
        <v>6.9444444444444447E-4</v>
      </c>
      <c r="D46" s="115">
        <f t="shared" ca="1" si="1"/>
        <v>3</v>
      </c>
      <c r="E46" s="120">
        <f t="shared" ca="1" si="6"/>
        <v>2.0833333333333333E-3</v>
      </c>
      <c r="F46" s="120">
        <f t="shared" ca="1" si="2"/>
        <v>0.43402777777777757</v>
      </c>
      <c r="G46" s="120">
        <f t="shared" ca="1" si="7"/>
        <v>0</v>
      </c>
      <c r="H46" s="115" t="str">
        <f t="shared" ca="1" si="3"/>
        <v/>
      </c>
      <c r="I46" s="120" t="str">
        <f t="shared" ca="1" si="4"/>
        <v/>
      </c>
      <c r="J46" s="120">
        <f ca="1">IF(ISTEXT($F46),"",MAX($P$19:P45,$F46))</f>
        <v>0.43472222222222201</v>
      </c>
      <c r="K46" s="120">
        <f ca="1">IF(ISTEXT($F46),"",MAX($R$19:R45,$F46))</f>
        <v>0.43819444444444422</v>
      </c>
      <c r="L46" s="120">
        <f t="shared" ca="1" si="22"/>
        <v>0.43402777777777757</v>
      </c>
      <c r="M46" s="120">
        <f t="shared" ca="1" si="8"/>
        <v>0.43402777777777757</v>
      </c>
      <c r="N46" s="115">
        <f t="shared" ca="1" si="9"/>
        <v>3</v>
      </c>
      <c r="O46" s="120" t="str">
        <f t="shared" ca="1" si="10"/>
        <v/>
      </c>
      <c r="P46" s="120">
        <f t="shared" ca="1" si="11"/>
        <v>0.43472222222222201</v>
      </c>
      <c r="Q46" s="120" t="str">
        <f t="shared" ca="1" si="12"/>
        <v/>
      </c>
      <c r="R46" s="120">
        <f t="shared" ca="1" si="13"/>
        <v>0.43819444444444422</v>
      </c>
      <c r="S46" s="120">
        <f t="shared" ca="1" si="14"/>
        <v>0.43402777777777757</v>
      </c>
      <c r="T46" s="120">
        <f t="shared" ca="1" si="15"/>
        <v>0.43611111111111089</v>
      </c>
      <c r="U46" s="120">
        <f t="shared" ca="1" si="16"/>
        <v>0</v>
      </c>
      <c r="V46" s="120">
        <f t="shared" ca="1" si="17"/>
        <v>2.0833333333333333E-3</v>
      </c>
      <c r="W46" s="120">
        <f t="shared" ca="1" si="18"/>
        <v>2.0833333333333259E-3</v>
      </c>
      <c r="X46" s="120">
        <f t="shared" ca="1" si="23"/>
        <v>2.0833333333333333E-3</v>
      </c>
      <c r="Y46" s="120">
        <f t="shared" ca="1" si="19"/>
        <v>0.43611111111111089</v>
      </c>
      <c r="Z46" s="115">
        <f t="shared" ca="1" si="20"/>
        <v>0</v>
      </c>
    </row>
    <row r="47" spans="1:26" x14ac:dyDescent="0.35">
      <c r="A47" s="115">
        <f t="shared" ca="1" si="21"/>
        <v>28</v>
      </c>
      <c r="B47" s="115">
        <f t="shared" ca="1" si="0"/>
        <v>1</v>
      </c>
      <c r="C47" s="120">
        <f t="shared" ca="1" si="5"/>
        <v>6.9444444444444447E-4</v>
      </c>
      <c r="D47" s="115">
        <f t="shared" ca="1" si="1"/>
        <v>7</v>
      </c>
      <c r="E47" s="120">
        <f t="shared" ca="1" si="6"/>
        <v>4.8611111111111112E-3</v>
      </c>
      <c r="F47" s="120">
        <f t="shared" ca="1" si="2"/>
        <v>0.43472222222222201</v>
      </c>
      <c r="G47" s="120">
        <f t="shared" ca="1" si="7"/>
        <v>0</v>
      </c>
      <c r="H47" s="115" t="str">
        <f t="shared" ca="1" si="3"/>
        <v/>
      </c>
      <c r="I47" s="120" t="str">
        <f t="shared" ca="1" si="4"/>
        <v/>
      </c>
      <c r="J47" s="120">
        <f ca="1">IF(ISTEXT($F47),"",MAX($P$19:P46,$F47))</f>
        <v>0.43472222222222201</v>
      </c>
      <c r="K47" s="120">
        <f ca="1">IF(ISTEXT($F47),"",MAX($R$19:R46,$F47))</f>
        <v>0.43819444444444422</v>
      </c>
      <c r="L47" s="120">
        <f t="shared" ca="1" si="22"/>
        <v>0.43611111111111089</v>
      </c>
      <c r="M47" s="120">
        <f t="shared" ca="1" si="8"/>
        <v>0.43472222222222201</v>
      </c>
      <c r="N47" s="115">
        <f t="shared" ca="1" si="9"/>
        <v>1</v>
      </c>
      <c r="O47" s="120">
        <f t="shared" ca="1" si="10"/>
        <v>0.43472222222222201</v>
      </c>
      <c r="P47" s="120">
        <f ca="1">IF($N47=1,O47+$E47,P46)</f>
        <v>0.4395833333333331</v>
      </c>
      <c r="Q47" s="120" t="str">
        <f t="shared" ca="1" si="12"/>
        <v/>
      </c>
      <c r="R47" s="120">
        <f ca="1">IF($N47=2,Q47+$E47,R46)</f>
        <v>0.43819444444444422</v>
      </c>
      <c r="S47" s="120" t="str">
        <f t="shared" ca="1" si="14"/>
        <v/>
      </c>
      <c r="T47" s="120">
        <f t="shared" ca="1" si="15"/>
        <v>0.43611111111111089</v>
      </c>
      <c r="U47" s="120">
        <f t="shared" ca="1" si="16"/>
        <v>0</v>
      </c>
      <c r="V47" s="120">
        <f t="shared" ca="1" si="17"/>
        <v>4.8611111111111112E-3</v>
      </c>
      <c r="W47" s="120">
        <f t="shared" ca="1" si="18"/>
        <v>4.8611111111110938E-3</v>
      </c>
      <c r="X47" s="120">
        <f t="shared" ca="1" si="23"/>
        <v>4.8611111111111112E-3</v>
      </c>
      <c r="Y47" s="120">
        <f t="shared" ca="1" si="19"/>
        <v>0.4395833333333331</v>
      </c>
      <c r="Z47" s="115">
        <f t="shared" ca="1" si="20"/>
        <v>0</v>
      </c>
    </row>
    <row r="48" spans="1:26" x14ac:dyDescent="0.35">
      <c r="A48" s="115">
        <f t="shared" ca="1" si="21"/>
        <v>29</v>
      </c>
      <c r="B48" s="115">
        <f t="shared" ca="1" si="0"/>
        <v>1</v>
      </c>
      <c r="C48" s="120">
        <f t="shared" ca="1" si="5"/>
        <v>6.9444444444444447E-4</v>
      </c>
      <c r="D48" s="115">
        <f t="shared" ca="1" si="1"/>
        <v>7</v>
      </c>
      <c r="E48" s="120">
        <f t="shared" ca="1" si="6"/>
        <v>4.8611111111111112E-3</v>
      </c>
      <c r="F48" s="120">
        <f t="shared" ca="1" si="2"/>
        <v>0.43541666666666645</v>
      </c>
      <c r="G48" s="120">
        <f t="shared" ca="1" si="7"/>
        <v>6.9444444444444198E-4</v>
      </c>
      <c r="H48" s="115" t="str">
        <f t="shared" ca="1" si="3"/>
        <v/>
      </c>
      <c r="I48" s="120" t="str">
        <f t="shared" ca="1" si="4"/>
        <v/>
      </c>
      <c r="J48" s="120">
        <f ca="1">IF(ISTEXT($F48),"",MAX($P$19:P47,$F48))</f>
        <v>0.4395833333333331</v>
      </c>
      <c r="K48" s="120">
        <f ca="1">IF(ISTEXT($F48),"",MAX($R$19:R47,$F48))</f>
        <v>0.43819444444444422</v>
      </c>
      <c r="L48" s="120">
        <f t="shared" ca="1" si="22"/>
        <v>0.43611111111111089</v>
      </c>
      <c r="M48" s="120">
        <f t="shared" ca="1" si="8"/>
        <v>0.43611111111111089</v>
      </c>
      <c r="N48" s="115">
        <f t="shared" ca="1" si="9"/>
        <v>3</v>
      </c>
      <c r="O48" s="120" t="str">
        <f t="shared" ca="1" si="10"/>
        <v/>
      </c>
      <c r="P48" s="120">
        <f t="shared" ca="1" si="11"/>
        <v>0.4395833333333331</v>
      </c>
      <c r="Q48" s="120" t="str">
        <f ca="1">IF($N48=2,M48,"")</f>
        <v/>
      </c>
      <c r="R48" s="120">
        <f t="shared" ca="1" si="13"/>
        <v>0.43819444444444422</v>
      </c>
      <c r="S48" s="120">
        <f ca="1">IF($N48=3,M48,"")</f>
        <v>0.43611111111111089</v>
      </c>
      <c r="T48" s="120">
        <f ca="1">IF($N48=3,S48+$E48,T47)</f>
        <v>0.44097222222222199</v>
      </c>
      <c r="U48" s="120">
        <f t="shared" ca="1" si="16"/>
        <v>6.9444444444444198E-4</v>
      </c>
      <c r="V48" s="120">
        <f t="shared" ca="1" si="17"/>
        <v>4.8611111111111112E-3</v>
      </c>
      <c r="W48" s="120">
        <f t="shared" ca="1" si="18"/>
        <v>5.5555555555555358E-3</v>
      </c>
      <c r="X48" s="120">
        <f ca="1">IFERROR(IF(H48="Ушел",W48,$E48+G48),"")</f>
        <v>5.5555555555555532E-3</v>
      </c>
      <c r="Y48" s="120">
        <f t="shared" ca="1" si="19"/>
        <v>0.44097222222222199</v>
      </c>
      <c r="Z48" s="115">
        <f t="shared" ca="1" si="20"/>
        <v>0</v>
      </c>
    </row>
    <row r="49" spans="1:26" x14ac:dyDescent="0.35">
      <c r="A49" s="115">
        <f t="shared" ca="1" si="21"/>
        <v>30</v>
      </c>
      <c r="B49" s="115">
        <f t="shared" ca="1" si="0"/>
        <v>1</v>
      </c>
      <c r="C49" s="120">
        <f t="shared" ca="1" si="5"/>
        <v>6.9444444444444447E-4</v>
      </c>
      <c r="D49" s="115">
        <f t="shared" ca="1" si="1"/>
        <v>7</v>
      </c>
      <c r="E49" s="120">
        <f t="shared" ca="1" si="6"/>
        <v>4.8611111111111112E-3</v>
      </c>
      <c r="F49" s="120">
        <f t="shared" ca="1" si="2"/>
        <v>0.43611111111111089</v>
      </c>
      <c r="G49" s="120">
        <f t="shared" ca="1" si="7"/>
        <v>2.0833333333333259E-3</v>
      </c>
      <c r="H49" s="115" t="str">
        <f t="shared" ca="1" si="3"/>
        <v>Ушел</v>
      </c>
      <c r="I49" s="120">
        <f t="shared" ca="1" si="4"/>
        <v>0.43749999999999978</v>
      </c>
      <c r="J49" s="120">
        <f ca="1">IF(ISTEXT($F49),"",MAX($P$19:P48,$F49))</f>
        <v>0.4395833333333331</v>
      </c>
      <c r="K49" s="120">
        <f ca="1">IF(ISTEXT($F49),"",MAX($R$19:R48,$F49))</f>
        <v>0.43819444444444422</v>
      </c>
      <c r="L49" s="120">
        <f t="shared" ca="1" si="22"/>
        <v>0.44097222222222199</v>
      </c>
      <c r="M49" s="120">
        <f t="shared" ca="1" si="8"/>
        <v>0.43819444444444422</v>
      </c>
      <c r="N49" s="115" t="str">
        <f t="shared" ca="1" si="9"/>
        <v/>
      </c>
      <c r="O49" s="120" t="str">
        <f t="shared" ca="1" si="10"/>
        <v/>
      </c>
      <c r="P49" s="120">
        <f t="shared" ca="1" si="11"/>
        <v>0.4395833333333331</v>
      </c>
      <c r="Q49" s="120" t="str">
        <f t="shared" ca="1" si="12"/>
        <v/>
      </c>
      <c r="R49" s="120">
        <f t="shared" ca="1" si="13"/>
        <v>0.43819444444444422</v>
      </c>
      <c r="S49" s="120" t="str">
        <f t="shared" ca="1" si="14"/>
        <v/>
      </c>
      <c r="T49" s="120">
        <f t="shared" ca="1" si="15"/>
        <v>0.44097222222222199</v>
      </c>
      <c r="U49" s="120">
        <f t="shared" ca="1" si="16"/>
        <v>1.388888888888884E-3</v>
      </c>
      <c r="V49" s="120" t="str">
        <f t="shared" ca="1" si="17"/>
        <v/>
      </c>
      <c r="W49" s="120">
        <f t="shared" ca="1" si="18"/>
        <v>1.388888888888884E-3</v>
      </c>
      <c r="X49" s="120">
        <f t="shared" ca="1" si="23"/>
        <v>1.388888888888884E-3</v>
      </c>
      <c r="Y49" s="120">
        <f t="shared" ca="1" si="19"/>
        <v>0.43749999999999978</v>
      </c>
      <c r="Z49" s="115">
        <f t="shared" ca="1" si="20"/>
        <v>0</v>
      </c>
    </row>
    <row r="50" spans="1:26" x14ac:dyDescent="0.35">
      <c r="A50" s="115">
        <f t="shared" ca="1" si="21"/>
        <v>31</v>
      </c>
      <c r="B50" s="115">
        <f t="shared" ca="1" si="0"/>
        <v>1</v>
      </c>
      <c r="C50" s="120">
        <f t="shared" ca="1" si="5"/>
        <v>6.9444444444444447E-4</v>
      </c>
      <c r="D50" s="115">
        <f t="shared" ca="1" si="1"/>
        <v>7</v>
      </c>
      <c r="E50" s="120">
        <f t="shared" ca="1" si="6"/>
        <v>4.8611111111111112E-3</v>
      </c>
      <c r="F50" s="120">
        <f t="shared" ca="1" si="2"/>
        <v>0.43680555555555534</v>
      </c>
      <c r="G50" s="120">
        <f t="shared" ca="1" si="7"/>
        <v>1.388888888888884E-3</v>
      </c>
      <c r="H50" s="115" t="str">
        <f t="shared" ca="1" si="3"/>
        <v/>
      </c>
      <c r="I50" s="120" t="str">
        <f t="shared" ca="1" si="4"/>
        <v/>
      </c>
      <c r="J50" s="120">
        <f ca="1">IF(ISTEXT($F50),"",MAX($P$19:P49,$F50))</f>
        <v>0.4395833333333331</v>
      </c>
      <c r="K50" s="120">
        <f ca="1">IF(ISTEXT($F50),"",MAX($R$19:R49,$F50))</f>
        <v>0.43819444444444422</v>
      </c>
      <c r="L50" s="120">
        <f t="shared" ca="1" si="22"/>
        <v>0.44097222222222199</v>
      </c>
      <c r="M50" s="120">
        <f t="shared" ca="1" si="8"/>
        <v>0.43819444444444422</v>
      </c>
      <c r="N50" s="115">
        <f t="shared" ca="1" si="9"/>
        <v>2</v>
      </c>
      <c r="O50" s="120" t="str">
        <f t="shared" ca="1" si="10"/>
        <v/>
      </c>
      <c r="P50" s="120">
        <f t="shared" ca="1" si="11"/>
        <v>0.4395833333333331</v>
      </c>
      <c r="Q50" s="120">
        <f t="shared" ca="1" si="12"/>
        <v>0.43819444444444422</v>
      </c>
      <c r="R50" s="120">
        <f t="shared" ca="1" si="13"/>
        <v>0.44305555555555531</v>
      </c>
      <c r="S50" s="120" t="str">
        <f t="shared" ca="1" si="14"/>
        <v/>
      </c>
      <c r="T50" s="120">
        <f t="shared" ca="1" si="15"/>
        <v>0.44097222222222199</v>
      </c>
      <c r="U50" s="120">
        <f t="shared" ca="1" si="16"/>
        <v>1.388888888888884E-3</v>
      </c>
      <c r="V50" s="120">
        <f t="shared" ca="1" si="17"/>
        <v>4.8611111111111112E-3</v>
      </c>
      <c r="W50" s="120">
        <f t="shared" ca="1" si="18"/>
        <v>6.2499999999999778E-3</v>
      </c>
      <c r="X50" s="120">
        <f t="shared" ca="1" si="23"/>
        <v>6.2499999999999951E-3</v>
      </c>
      <c r="Y50" s="120">
        <f t="shared" ca="1" si="19"/>
        <v>0.44305555555555531</v>
      </c>
      <c r="Z50" s="115">
        <f t="shared" ca="1" si="20"/>
        <v>0</v>
      </c>
    </row>
    <row r="51" spans="1:26" x14ac:dyDescent="0.35">
      <c r="A51" s="115">
        <f t="shared" ca="1" si="21"/>
        <v>32</v>
      </c>
      <c r="B51" s="115">
        <f t="shared" ca="1" si="0"/>
        <v>3</v>
      </c>
      <c r="C51" s="120">
        <f t="shared" ca="1" si="5"/>
        <v>2.0833333333333333E-3</v>
      </c>
      <c r="D51" s="115">
        <f t="shared" ca="1" si="1"/>
        <v>3</v>
      </c>
      <c r="E51" s="120">
        <f t="shared" ca="1" si="6"/>
        <v>2.0833333333333333E-3</v>
      </c>
      <c r="F51" s="120">
        <f t="shared" ca="1" si="2"/>
        <v>0.43888888888888866</v>
      </c>
      <c r="G51" s="120">
        <f t="shared" ca="1" si="7"/>
        <v>6.9444444444444198E-4</v>
      </c>
      <c r="H51" s="115" t="str">
        <f t="shared" ca="1" si="3"/>
        <v/>
      </c>
      <c r="I51" s="120" t="str">
        <f t="shared" ca="1" si="4"/>
        <v/>
      </c>
      <c r="J51" s="120">
        <f ca="1">IF(ISTEXT($F51),"",MAX($P$19:P50,$F51))</f>
        <v>0.4395833333333331</v>
      </c>
      <c r="K51" s="120">
        <f ca="1">IF(ISTEXT($F51),"",MAX($R$19:R50,$F51))</f>
        <v>0.44305555555555531</v>
      </c>
      <c r="L51" s="120">
        <f t="shared" ca="1" si="22"/>
        <v>0.44097222222222199</v>
      </c>
      <c r="M51" s="120">
        <f t="shared" ca="1" si="8"/>
        <v>0.4395833333333331</v>
      </c>
      <c r="N51" s="115">
        <f t="shared" ca="1" si="9"/>
        <v>1</v>
      </c>
      <c r="O51" s="120">
        <f t="shared" ca="1" si="10"/>
        <v>0.4395833333333331</v>
      </c>
      <c r="P51" s="120">
        <f t="shared" ca="1" si="11"/>
        <v>0.44166666666666643</v>
      </c>
      <c r="Q51" s="120" t="str">
        <f t="shared" ca="1" si="12"/>
        <v/>
      </c>
      <c r="R51" s="120">
        <f t="shared" ca="1" si="13"/>
        <v>0.44305555555555531</v>
      </c>
      <c r="S51" s="120" t="str">
        <f t="shared" ca="1" si="14"/>
        <v/>
      </c>
      <c r="T51" s="120">
        <f t="shared" ca="1" si="15"/>
        <v>0.44097222222222199</v>
      </c>
      <c r="U51" s="120">
        <f t="shared" ca="1" si="16"/>
        <v>6.9444444444444198E-4</v>
      </c>
      <c r="V51" s="120">
        <f t="shared" ca="1" si="17"/>
        <v>2.0833333333333333E-3</v>
      </c>
      <c r="W51" s="120">
        <f t="shared" ca="1" si="18"/>
        <v>2.7777777777777679E-3</v>
      </c>
      <c r="X51" s="120">
        <f t="shared" ca="1" si="23"/>
        <v>2.7777777777777753E-3</v>
      </c>
      <c r="Y51" s="120">
        <f t="shared" ca="1" si="19"/>
        <v>0.44166666666666643</v>
      </c>
      <c r="Z51" s="115">
        <f t="shared" ca="1" si="20"/>
        <v>0</v>
      </c>
    </row>
    <row r="52" spans="1:26" x14ac:dyDescent="0.35">
      <c r="A52" s="115">
        <f t="shared" ca="1" si="21"/>
        <v>33</v>
      </c>
      <c r="B52" s="115">
        <f t="shared" ca="1" si="0"/>
        <v>1</v>
      </c>
      <c r="C52" s="120">
        <f t="shared" ca="1" si="5"/>
        <v>6.9444444444444447E-4</v>
      </c>
      <c r="D52" s="115">
        <f t="shared" ca="1" si="1"/>
        <v>8</v>
      </c>
      <c r="E52" s="120">
        <f t="shared" ca="1" si="6"/>
        <v>5.5555555555555558E-3</v>
      </c>
      <c r="F52" s="120">
        <f t="shared" ca="1" si="2"/>
        <v>0.4395833333333331</v>
      </c>
      <c r="G52" s="120">
        <f t="shared" ca="1" si="7"/>
        <v>1.388888888888884E-3</v>
      </c>
      <c r="H52" s="115" t="str">
        <f t="shared" ca="1" si="3"/>
        <v/>
      </c>
      <c r="I52" s="120" t="str">
        <f t="shared" ca="1" si="4"/>
        <v/>
      </c>
      <c r="J52" s="120">
        <f ca="1">IF(ISTEXT($F52),"",MAX($P$19:P51,$F52))</f>
        <v>0.44166666666666643</v>
      </c>
      <c r="K52" s="120">
        <f ca="1">IF(ISTEXT($F52),"",MAX($R$19:R51,$F52))</f>
        <v>0.44305555555555531</v>
      </c>
      <c r="L52" s="120">
        <f t="shared" ca="1" si="22"/>
        <v>0.44097222222222199</v>
      </c>
      <c r="M52" s="120">
        <f t="shared" ca="1" si="8"/>
        <v>0.44097222222222199</v>
      </c>
      <c r="N52" s="115">
        <f t="shared" ca="1" si="9"/>
        <v>3</v>
      </c>
      <c r="O52" s="120" t="str">
        <f t="shared" ca="1" si="10"/>
        <v/>
      </c>
      <c r="P52" s="120">
        <f t="shared" ca="1" si="11"/>
        <v>0.44166666666666643</v>
      </c>
      <c r="Q52" s="120" t="str">
        <f t="shared" ca="1" si="12"/>
        <v/>
      </c>
      <c r="R52" s="120">
        <f t="shared" ca="1" si="13"/>
        <v>0.44305555555555531</v>
      </c>
      <c r="S52" s="120">
        <f t="shared" ca="1" si="14"/>
        <v>0.44097222222222199</v>
      </c>
      <c r="T52" s="120">
        <f t="shared" ca="1" si="15"/>
        <v>0.44652777777777752</v>
      </c>
      <c r="U52" s="120">
        <f t="shared" ca="1" si="16"/>
        <v>1.388888888888884E-3</v>
      </c>
      <c r="V52" s="120">
        <f t="shared" ca="1" si="17"/>
        <v>5.5555555555555558E-3</v>
      </c>
      <c r="W52" s="120">
        <f t="shared" ca="1" si="18"/>
        <v>6.9444444444444198E-3</v>
      </c>
      <c r="X52" s="120">
        <f t="shared" ca="1" si="23"/>
        <v>6.9444444444444397E-3</v>
      </c>
      <c r="Y52" s="120">
        <f t="shared" ca="1" si="19"/>
        <v>0.44652777777777752</v>
      </c>
      <c r="Z52" s="115">
        <f t="shared" ca="1" si="20"/>
        <v>0</v>
      </c>
    </row>
    <row r="53" spans="1:26" x14ac:dyDescent="0.35">
      <c r="A53" s="115">
        <f t="shared" ca="1" si="21"/>
        <v>34</v>
      </c>
      <c r="B53" s="115">
        <f t="shared" ca="1" si="0"/>
        <v>10</v>
      </c>
      <c r="C53" s="120">
        <f t="shared" ca="1" si="5"/>
        <v>6.9444444444444441E-3</v>
      </c>
      <c r="D53" s="115">
        <f t="shared" ca="1" si="1"/>
        <v>7</v>
      </c>
      <c r="E53" s="120">
        <f t="shared" ca="1" si="6"/>
        <v>4.8611111111111112E-3</v>
      </c>
      <c r="F53" s="120">
        <f t="shared" ca="1" si="2"/>
        <v>0.44652777777777752</v>
      </c>
      <c r="G53" s="120">
        <f t="shared" ca="1" si="7"/>
        <v>0</v>
      </c>
      <c r="H53" s="115" t="str">
        <f t="shared" ca="1" si="3"/>
        <v/>
      </c>
      <c r="I53" s="120" t="str">
        <f t="shared" ca="1" si="4"/>
        <v/>
      </c>
      <c r="J53" s="120">
        <f ca="1">IF(ISTEXT($F53),"",MAX($P$19:P52,$F53))</f>
        <v>0.44652777777777752</v>
      </c>
      <c r="K53" s="120">
        <f ca="1">IF(ISTEXT($F53),"",MAX($R$19:R52,$F53))</f>
        <v>0.44652777777777752</v>
      </c>
      <c r="L53" s="120">
        <f t="shared" ca="1" si="22"/>
        <v>0.44652777777777752</v>
      </c>
      <c r="M53" s="120">
        <f t="shared" ca="1" si="8"/>
        <v>0.44652777777777752</v>
      </c>
      <c r="N53" s="115">
        <f t="shared" ca="1" si="9"/>
        <v>1</v>
      </c>
      <c r="O53" s="120">
        <f t="shared" ca="1" si="10"/>
        <v>0.44652777777777752</v>
      </c>
      <c r="P53" s="120">
        <f t="shared" ca="1" si="11"/>
        <v>0.45138888888888862</v>
      </c>
      <c r="Q53" s="120" t="str">
        <f t="shared" ca="1" si="12"/>
        <v/>
      </c>
      <c r="R53" s="120">
        <f t="shared" ca="1" si="13"/>
        <v>0.44305555555555531</v>
      </c>
      <c r="S53" s="120" t="str">
        <f t="shared" ca="1" si="14"/>
        <v/>
      </c>
      <c r="T53" s="120">
        <f t="shared" ca="1" si="15"/>
        <v>0.44652777777777752</v>
      </c>
      <c r="U53" s="120">
        <f t="shared" ca="1" si="16"/>
        <v>0</v>
      </c>
      <c r="V53" s="120">
        <f t="shared" ca="1" si="17"/>
        <v>4.8611111111111112E-3</v>
      </c>
      <c r="W53" s="120">
        <f t="shared" ca="1" si="18"/>
        <v>4.8611111111110938E-3</v>
      </c>
      <c r="X53" s="120">
        <f t="shared" ca="1" si="23"/>
        <v>4.8611111111111112E-3</v>
      </c>
      <c r="Y53" s="120">
        <f t="shared" ca="1" si="19"/>
        <v>0.45138888888888862</v>
      </c>
      <c r="Z53" s="115">
        <f ca="1">COUNTIF($M$19:$M$19,"&gt;"&amp;$F53)</f>
        <v>0</v>
      </c>
    </row>
    <row r="54" spans="1:26" x14ac:dyDescent="0.35">
      <c r="A54" s="115">
        <f t="shared" ca="1" si="21"/>
        <v>35</v>
      </c>
      <c r="B54" s="115">
        <f t="shared" ca="1" si="0"/>
        <v>3</v>
      </c>
      <c r="C54" s="120">
        <f t="shared" ca="1" si="5"/>
        <v>2.0833333333333333E-3</v>
      </c>
      <c r="D54" s="115">
        <f t="shared" ca="1" si="1"/>
        <v>8</v>
      </c>
      <c r="E54" s="120">
        <f t="shared" ca="1" si="6"/>
        <v>5.5555555555555558E-3</v>
      </c>
      <c r="F54" s="120">
        <f t="shared" ca="1" si="2"/>
        <v>0.44861111111111085</v>
      </c>
      <c r="G54" s="120">
        <f t="shared" ca="1" si="7"/>
        <v>0</v>
      </c>
      <c r="H54" s="115" t="str">
        <f t="shared" ca="1" si="3"/>
        <v/>
      </c>
      <c r="I54" s="120" t="str">
        <f t="shared" ca="1" si="4"/>
        <v/>
      </c>
      <c r="J54" s="120">
        <f ca="1">IF(ISTEXT($F54),"",MAX($P$19:P53,$F54))</f>
        <v>0.45138888888888862</v>
      </c>
      <c r="K54" s="120">
        <f ca="1">IF(ISTEXT($F54),"",MAX($R$19:R53,$F54))</f>
        <v>0.44861111111111085</v>
      </c>
      <c r="L54" s="120">
        <f t="shared" ca="1" si="22"/>
        <v>0.44861111111111085</v>
      </c>
      <c r="M54" s="120">
        <f t="shared" ca="1" si="8"/>
        <v>0.44861111111111085</v>
      </c>
      <c r="N54" s="115">
        <f t="shared" ca="1" si="9"/>
        <v>2</v>
      </c>
      <c r="O54" s="120" t="str">
        <f t="shared" ca="1" si="10"/>
        <v/>
      </c>
      <c r="P54" s="120">
        <f t="shared" ca="1" si="11"/>
        <v>0.45138888888888862</v>
      </c>
      <c r="Q54" s="120">
        <f t="shared" ca="1" si="12"/>
        <v>0.44861111111111085</v>
      </c>
      <c r="R54" s="120">
        <f t="shared" ca="1" si="13"/>
        <v>0.45416666666666639</v>
      </c>
      <c r="S54" s="120" t="str">
        <f t="shared" ca="1" si="14"/>
        <v/>
      </c>
      <c r="T54" s="120">
        <f t="shared" ca="1" si="15"/>
        <v>0.44652777777777752</v>
      </c>
      <c r="U54" s="120">
        <f t="shared" ca="1" si="16"/>
        <v>0</v>
      </c>
      <c r="V54" s="120">
        <f t="shared" ca="1" si="17"/>
        <v>5.5555555555555558E-3</v>
      </c>
      <c r="W54" s="120">
        <f t="shared" ca="1" si="18"/>
        <v>5.5555555555555358E-3</v>
      </c>
      <c r="X54" s="120">
        <f t="shared" ca="1" si="23"/>
        <v>5.5555555555555558E-3</v>
      </c>
      <c r="Y54" s="120">
        <f t="shared" ca="1" si="19"/>
        <v>0.45416666666666639</v>
      </c>
      <c r="Z54" s="115">
        <f t="shared" ca="1" si="20"/>
        <v>0</v>
      </c>
    </row>
    <row r="55" spans="1:26" x14ac:dyDescent="0.35">
      <c r="A55" s="115">
        <f t="shared" ca="1" si="21"/>
        <v>36</v>
      </c>
      <c r="B55" s="115">
        <f t="shared" ca="1" si="0"/>
        <v>1</v>
      </c>
      <c r="C55" s="120">
        <f t="shared" ca="1" si="5"/>
        <v>6.9444444444444447E-4</v>
      </c>
      <c r="D55" s="115">
        <f t="shared" ca="1" si="1"/>
        <v>3</v>
      </c>
      <c r="E55" s="120">
        <f t="shared" ca="1" si="6"/>
        <v>2.0833333333333333E-3</v>
      </c>
      <c r="F55" s="120">
        <f t="shared" ca="1" si="2"/>
        <v>0.44930555555555529</v>
      </c>
      <c r="G55" s="120">
        <f t="shared" ca="1" si="7"/>
        <v>0</v>
      </c>
      <c r="H55" s="115" t="str">
        <f t="shared" ca="1" si="3"/>
        <v/>
      </c>
      <c r="I55" s="120" t="str">
        <f t="shared" ca="1" si="4"/>
        <v/>
      </c>
      <c r="J55" s="120">
        <f ca="1">IF(ISTEXT($F55),"",MAX($P$19:P54,$F55))</f>
        <v>0.45138888888888862</v>
      </c>
      <c r="K55" s="120">
        <f ca="1">IF(ISTEXT($F55),"",MAX($R$19:R54,$F55))</f>
        <v>0.45416666666666639</v>
      </c>
      <c r="L55" s="120">
        <f t="shared" ca="1" si="22"/>
        <v>0.44930555555555529</v>
      </c>
      <c r="M55" s="120">
        <f t="shared" ca="1" si="8"/>
        <v>0.44930555555555529</v>
      </c>
      <c r="N55" s="115">
        <f t="shared" ca="1" si="9"/>
        <v>3</v>
      </c>
      <c r="O55" s="120" t="str">
        <f t="shared" ca="1" si="10"/>
        <v/>
      </c>
      <c r="P55" s="120">
        <f t="shared" ca="1" si="11"/>
        <v>0.45138888888888862</v>
      </c>
      <c r="Q55" s="120" t="str">
        <f t="shared" ca="1" si="12"/>
        <v/>
      </c>
      <c r="R55" s="120">
        <f t="shared" ca="1" si="13"/>
        <v>0.45416666666666639</v>
      </c>
      <c r="S55" s="120">
        <f t="shared" ca="1" si="14"/>
        <v>0.44930555555555529</v>
      </c>
      <c r="T55" s="120">
        <f t="shared" ca="1" si="15"/>
        <v>0.45138888888888862</v>
      </c>
      <c r="U55" s="120">
        <f t="shared" ca="1" si="16"/>
        <v>0</v>
      </c>
      <c r="V55" s="120">
        <f t="shared" ca="1" si="17"/>
        <v>2.0833333333333333E-3</v>
      </c>
      <c r="W55" s="120">
        <f t="shared" ca="1" si="18"/>
        <v>2.0833333333333259E-3</v>
      </c>
      <c r="X55" s="120">
        <f t="shared" ca="1" si="23"/>
        <v>2.0833333333333333E-3</v>
      </c>
      <c r="Y55" s="120">
        <f t="shared" ca="1" si="19"/>
        <v>0.45138888888888862</v>
      </c>
      <c r="Z55" s="115">
        <f t="shared" ca="1" si="20"/>
        <v>0</v>
      </c>
    </row>
    <row r="56" spans="1:26" x14ac:dyDescent="0.35">
      <c r="A56" s="115">
        <f t="shared" ca="1" si="21"/>
        <v>37</v>
      </c>
      <c r="B56" s="115">
        <f t="shared" ca="1" si="0"/>
        <v>3</v>
      </c>
      <c r="C56" s="120">
        <f t="shared" ca="1" si="5"/>
        <v>2.0833333333333333E-3</v>
      </c>
      <c r="D56" s="115">
        <f t="shared" ca="1" si="1"/>
        <v>8</v>
      </c>
      <c r="E56" s="120">
        <f t="shared" ca="1" si="6"/>
        <v>5.5555555555555558E-3</v>
      </c>
      <c r="F56" s="120">
        <f t="shared" ca="1" si="2"/>
        <v>0.45138888888888862</v>
      </c>
      <c r="G56" s="120">
        <f t="shared" ca="1" si="7"/>
        <v>0</v>
      </c>
      <c r="H56" s="115" t="str">
        <f t="shared" ca="1" si="3"/>
        <v/>
      </c>
      <c r="I56" s="120" t="str">
        <f t="shared" ca="1" si="4"/>
        <v/>
      </c>
      <c r="J56" s="120">
        <f ca="1">IF(ISTEXT($F56),"",MAX($P$19:P55,$F56))</f>
        <v>0.45138888888888862</v>
      </c>
      <c r="K56" s="120">
        <f ca="1">IF(ISTEXT($F56),"",MAX($R$19:R55,$F56))</f>
        <v>0.45416666666666639</v>
      </c>
      <c r="L56" s="120">
        <f t="shared" ca="1" si="22"/>
        <v>0.45138888888888862</v>
      </c>
      <c r="M56" s="120">
        <f t="shared" ca="1" si="8"/>
        <v>0.45138888888888862</v>
      </c>
      <c r="N56" s="115">
        <f t="shared" ca="1" si="9"/>
        <v>1</v>
      </c>
      <c r="O56" s="120">
        <f t="shared" ca="1" si="10"/>
        <v>0.45138888888888862</v>
      </c>
      <c r="P56" s="120">
        <f t="shared" ca="1" si="11"/>
        <v>0.45694444444444415</v>
      </c>
      <c r="Q56" s="120" t="str">
        <f t="shared" ca="1" si="12"/>
        <v/>
      </c>
      <c r="R56" s="120">
        <f t="shared" ca="1" si="13"/>
        <v>0.45416666666666639</v>
      </c>
      <c r="S56" s="120" t="str">
        <f t="shared" ca="1" si="14"/>
        <v/>
      </c>
      <c r="T56" s="120">
        <f t="shared" ca="1" si="15"/>
        <v>0.45138888888888862</v>
      </c>
      <c r="U56" s="120">
        <f t="shared" ca="1" si="16"/>
        <v>0</v>
      </c>
      <c r="V56" s="120">
        <f t="shared" ca="1" si="17"/>
        <v>5.5555555555555558E-3</v>
      </c>
      <c r="W56" s="120">
        <f t="shared" ca="1" si="18"/>
        <v>5.5555555555555358E-3</v>
      </c>
      <c r="X56" s="120">
        <f t="shared" ca="1" si="23"/>
        <v>5.5555555555555558E-3</v>
      </c>
      <c r="Y56" s="120">
        <f t="shared" ca="1" si="19"/>
        <v>0.45694444444444415</v>
      </c>
      <c r="Z56" s="115">
        <f t="shared" ca="1" si="20"/>
        <v>0</v>
      </c>
    </row>
    <row r="57" spans="1:26" x14ac:dyDescent="0.35">
      <c r="A57" s="115" t="str">
        <f t="shared" ca="1" si="21"/>
        <v>Закрыто</v>
      </c>
      <c r="B57" s="115">
        <f t="shared" ca="1" si="0"/>
        <v>10</v>
      </c>
      <c r="C57" s="120">
        <f t="shared" ca="1" si="5"/>
        <v>6.9444444444444441E-3</v>
      </c>
      <c r="D57" s="115">
        <f t="shared" ca="1" si="1"/>
        <v>3</v>
      </c>
      <c r="E57" s="120">
        <f t="shared" ca="1" si="6"/>
        <v>2.0833333333333333E-3</v>
      </c>
      <c r="F57" s="120" t="str">
        <f t="shared" ca="1" si="2"/>
        <v>Закрыто</v>
      </c>
      <c r="G57" s="120" t="str">
        <f t="shared" ca="1" si="7"/>
        <v/>
      </c>
      <c r="H57" s="115" t="str">
        <f t="shared" ca="1" si="3"/>
        <v/>
      </c>
      <c r="I57" s="120" t="str">
        <f t="shared" ca="1" si="4"/>
        <v/>
      </c>
      <c r="J57" s="120" t="str">
        <f ca="1">IF(ISTEXT($F57),"",MAX($P$19:P56,$F57))</f>
        <v/>
      </c>
      <c r="K57" s="120" t="str">
        <f ca="1">IF(ISTEXT($F57),"",MAX($R$19:R56,$F57))</f>
        <v/>
      </c>
      <c r="L57" s="120" t="str">
        <f t="shared" ca="1" si="22"/>
        <v/>
      </c>
      <c r="M57" s="120" t="str">
        <f t="shared" ca="1" si="8"/>
        <v/>
      </c>
      <c r="N57" s="115" t="str">
        <f t="shared" ca="1" si="9"/>
        <v/>
      </c>
      <c r="O57" s="120" t="str">
        <f t="shared" ca="1" si="10"/>
        <v/>
      </c>
      <c r="P57" s="120">
        <f t="shared" ca="1" si="11"/>
        <v>0.45694444444444415</v>
      </c>
      <c r="Q57" s="120" t="str">
        <f t="shared" ca="1" si="12"/>
        <v/>
      </c>
      <c r="R57" s="120">
        <f t="shared" ca="1" si="13"/>
        <v>0.45416666666666639</v>
      </c>
      <c r="S57" s="120" t="str">
        <f t="shared" ca="1" si="14"/>
        <v/>
      </c>
      <c r="T57" s="120">
        <f t="shared" ca="1" si="15"/>
        <v>0.45138888888888862</v>
      </c>
      <c r="U57" s="120" t="str">
        <f t="shared" ca="1" si="16"/>
        <v/>
      </c>
      <c r="V57" s="120" t="str">
        <f t="shared" ca="1" si="17"/>
        <v/>
      </c>
      <c r="W57" s="120" t="str">
        <f t="shared" ca="1" si="18"/>
        <v/>
      </c>
      <c r="X57" s="120" t="str">
        <f ca="1">IFERROR(IF(H57="Ушел",W57,$E57+G57),"")</f>
        <v/>
      </c>
      <c r="Y57" s="120" t="str">
        <f t="shared" ca="1" si="19"/>
        <v/>
      </c>
      <c r="Z57" s="115">
        <f t="shared" ca="1" si="20"/>
        <v>0</v>
      </c>
    </row>
    <row r="58" spans="1:26" x14ac:dyDescent="0.35">
      <c r="A58" s="115" t="str">
        <f t="shared" ca="1" si="21"/>
        <v>Закрыто</v>
      </c>
      <c r="B58" s="115">
        <f t="shared" ca="1" si="0"/>
        <v>5</v>
      </c>
      <c r="C58" s="120">
        <f t="shared" ca="1" si="5"/>
        <v>3.472222222222222E-3</v>
      </c>
      <c r="D58" s="115">
        <f t="shared" ca="1" si="1"/>
        <v>3</v>
      </c>
      <c r="E58" s="120">
        <f t="shared" ca="1" si="6"/>
        <v>2.0833333333333333E-3</v>
      </c>
      <c r="F58" s="120" t="str">
        <f t="shared" ca="1" si="2"/>
        <v/>
      </c>
      <c r="G58" s="120" t="str">
        <f t="shared" ca="1" si="7"/>
        <v/>
      </c>
      <c r="H58" s="115" t="str">
        <f t="shared" ca="1" si="3"/>
        <v/>
      </c>
      <c r="I58" s="120" t="str">
        <f t="shared" ca="1" si="4"/>
        <v/>
      </c>
      <c r="J58" s="120" t="str">
        <f ca="1">IF(ISTEXT($F58),"",MAX($P$19:P57,$F58))</f>
        <v/>
      </c>
      <c r="K58" s="120" t="str">
        <f ca="1">IF(ISTEXT($F58),"",MAX($R$19:R57,$F58))</f>
        <v/>
      </c>
      <c r="L58" s="120" t="str">
        <f t="shared" ca="1" si="22"/>
        <v/>
      </c>
      <c r="M58" s="120" t="str">
        <f t="shared" ca="1" si="8"/>
        <v/>
      </c>
      <c r="N58" s="115" t="str">
        <f t="shared" ca="1" si="9"/>
        <v/>
      </c>
      <c r="O58" s="120" t="str">
        <f t="shared" ca="1" si="10"/>
        <v/>
      </c>
      <c r="P58" s="120">
        <f t="shared" ca="1" si="11"/>
        <v>0.45694444444444415</v>
      </c>
      <c r="Q58" s="120" t="str">
        <f t="shared" ca="1" si="12"/>
        <v/>
      </c>
      <c r="R58" s="120">
        <f t="shared" ca="1" si="13"/>
        <v>0.45416666666666639</v>
      </c>
      <c r="S58" s="120" t="str">
        <f t="shared" ca="1" si="14"/>
        <v/>
      </c>
      <c r="T58" s="120">
        <f t="shared" ca="1" si="15"/>
        <v>0.45138888888888862</v>
      </c>
      <c r="U58" s="120" t="str">
        <f t="shared" ca="1" si="16"/>
        <v/>
      </c>
      <c r="V58" s="120" t="str">
        <f t="shared" ca="1" si="17"/>
        <v/>
      </c>
      <c r="W58" s="120" t="str">
        <f t="shared" ca="1" si="18"/>
        <v/>
      </c>
      <c r="X58" s="120" t="str">
        <f t="shared" ca="1" si="23"/>
        <v/>
      </c>
      <c r="Y58" s="120" t="str">
        <f t="shared" ca="1" si="19"/>
        <v/>
      </c>
      <c r="Z58" s="115">
        <f t="shared" ca="1" si="20"/>
        <v>0</v>
      </c>
    </row>
    <row r="59" spans="1:26" x14ac:dyDescent="0.35">
      <c r="A59" s="115" t="str">
        <f t="shared" ca="1" si="21"/>
        <v>Закрыто</v>
      </c>
      <c r="B59" s="115">
        <f t="shared" ca="1" si="0"/>
        <v>1</v>
      </c>
      <c r="C59" s="120">
        <f t="shared" ca="1" si="5"/>
        <v>6.9444444444444447E-4</v>
      </c>
      <c r="D59" s="115">
        <f t="shared" ca="1" si="1"/>
        <v>7</v>
      </c>
      <c r="E59" s="120">
        <f t="shared" ca="1" si="6"/>
        <v>4.8611111111111112E-3</v>
      </c>
      <c r="F59" s="120" t="str">
        <f t="shared" ca="1" si="2"/>
        <v/>
      </c>
      <c r="G59" s="120" t="str">
        <f t="shared" ca="1" si="7"/>
        <v/>
      </c>
      <c r="H59" s="115" t="str">
        <f t="shared" ca="1" si="3"/>
        <v/>
      </c>
      <c r="I59" s="120" t="str">
        <f t="shared" ca="1" si="4"/>
        <v/>
      </c>
      <c r="J59" s="120" t="str">
        <f ca="1">IF(ISTEXT($F59),"",MAX($P$19:P58,$F59))</f>
        <v/>
      </c>
      <c r="K59" s="120" t="str">
        <f ca="1">IF(ISTEXT($F59),"",MAX($R$19:R58,$F59))</f>
        <v/>
      </c>
      <c r="L59" s="120" t="str">
        <f t="shared" ca="1" si="22"/>
        <v/>
      </c>
      <c r="M59" s="120" t="str">
        <f t="shared" ca="1" si="8"/>
        <v/>
      </c>
      <c r="N59" s="115" t="str">
        <f t="shared" ca="1" si="9"/>
        <v/>
      </c>
      <c r="O59" s="120" t="str">
        <f t="shared" ca="1" si="10"/>
        <v/>
      </c>
      <c r="P59" s="120">
        <f t="shared" ca="1" si="11"/>
        <v>0.45694444444444415</v>
      </c>
      <c r="Q59" s="120" t="str">
        <f t="shared" ca="1" si="12"/>
        <v/>
      </c>
      <c r="R59" s="120">
        <f t="shared" ca="1" si="13"/>
        <v>0.45416666666666639</v>
      </c>
      <c r="S59" s="120" t="str">
        <f t="shared" ca="1" si="14"/>
        <v/>
      </c>
      <c r="T59" s="120">
        <f t="shared" ca="1" si="15"/>
        <v>0.45138888888888862</v>
      </c>
      <c r="U59" s="120" t="str">
        <f t="shared" ca="1" si="16"/>
        <v/>
      </c>
      <c r="V59" s="120" t="str">
        <f t="shared" ca="1" si="17"/>
        <v/>
      </c>
      <c r="W59" s="120" t="str">
        <f ca="1">IFERROR(Y59-F59,"")</f>
        <v/>
      </c>
      <c r="X59" s="120" t="str">
        <f t="shared" ca="1" si="23"/>
        <v/>
      </c>
      <c r="Y59" s="120" t="str">
        <f t="shared" ca="1" si="19"/>
        <v/>
      </c>
      <c r="Z59" s="115">
        <f t="shared" ca="1" si="20"/>
        <v>0</v>
      </c>
    </row>
    <row r="61" spans="1:26" ht="43.5" x14ac:dyDescent="0.35">
      <c r="G61" s="119" t="s">
        <v>208</v>
      </c>
      <c r="H61" s="133">
        <f ca="1">COUNTIF(H20:H59,"ушел")</f>
        <v>1</v>
      </c>
      <c r="L61" s="142" t="s">
        <v>210</v>
      </c>
      <c r="M61" s="142"/>
      <c r="N61" s="135">
        <f ca="1">COUNTIF(N20:N59,"1")</f>
        <v>15</v>
      </c>
      <c r="O61" s="118"/>
      <c r="P61" s="142" t="s">
        <v>213</v>
      </c>
      <c r="Q61" s="142"/>
      <c r="R61" s="142"/>
      <c r="S61" s="132">
        <f ca="1">SUMIF(N20:N59,1,X20:X59)/(closed-start)</f>
        <v>0.70833333333333359</v>
      </c>
      <c r="T61" s="132">
        <f ca="1">100%-S61</f>
        <v>0.29166666666666641</v>
      </c>
      <c r="W61" s="119" t="s">
        <v>205</v>
      </c>
      <c r="X61" s="136">
        <f ca="1">SUM(W20:W59)/MAX(A20:A59)</f>
        <v>3.9789789789789649E-3</v>
      </c>
      <c r="Y61" s="119" t="s">
        <v>209</v>
      </c>
      <c r="Z61" s="135">
        <f ca="1">MAX(Z20:Z59)</f>
        <v>0</v>
      </c>
    </row>
    <row r="62" spans="1:26" ht="43.5" x14ac:dyDescent="0.35">
      <c r="G62" s="119" t="s">
        <v>207</v>
      </c>
      <c r="H62" s="134">
        <f ca="1">COUNTIF(H20:H119,"Ушел")/MAX(A20:A119)</f>
        <v>0</v>
      </c>
      <c r="L62" s="142" t="s">
        <v>211</v>
      </c>
      <c r="M62" s="142"/>
      <c r="N62" s="135">
        <f ca="1">COUNTIF(N20:N59,"2")</f>
        <v>11</v>
      </c>
      <c r="O62" s="118"/>
      <c r="P62" s="142" t="s">
        <v>214</v>
      </c>
      <c r="Q62" s="142"/>
      <c r="R62" s="142"/>
      <c r="S62" s="132">
        <f ca="1">SUMIF(N21:N60,2,X21:X60)/(closed-start)</f>
        <v>0.58333333333333326</v>
      </c>
      <c r="T62" s="132">
        <f ca="1">100%-S62</f>
        <v>0.41666666666666674</v>
      </c>
      <c r="W62" s="119" t="s">
        <v>206</v>
      </c>
      <c r="X62" s="136">
        <f ca="1">SUMIF(N20:N59,"&gt;0",X20:X59)/MAX(A20:A59)</f>
        <v>3.9414414414414411E-3</v>
      </c>
    </row>
    <row r="63" spans="1:26" ht="38.25" customHeight="1" x14ac:dyDescent="0.35">
      <c r="L63" s="142" t="s">
        <v>212</v>
      </c>
      <c r="M63" s="142"/>
      <c r="N63" s="135">
        <f ca="1">COUNTIF(N20:N59,"3")</f>
        <v>10</v>
      </c>
      <c r="O63" s="118"/>
      <c r="P63" s="142" t="s">
        <v>215</v>
      </c>
      <c r="Q63" s="142"/>
      <c r="R63" s="142"/>
      <c r="S63" s="132">
        <f ca="1">SUMIF(N22:N61,3,X22:X61)/(closed-start)</f>
        <v>0.45833333333333331</v>
      </c>
      <c r="T63" s="132">
        <f ca="1">100%-S63</f>
        <v>0.54166666666666674</v>
      </c>
    </row>
  </sheetData>
  <mergeCells count="44">
    <mergeCell ref="Y14:Y17"/>
    <mergeCell ref="Z14:Z17"/>
    <mergeCell ref="O14:P15"/>
    <mergeCell ref="Q14:R15"/>
    <mergeCell ref="S14:T15"/>
    <mergeCell ref="O16:O17"/>
    <mergeCell ref="P16:P17"/>
    <mergeCell ref="Q16:Q17"/>
    <mergeCell ref="R16:R17"/>
    <mergeCell ref="S16:S17"/>
    <mergeCell ref="X14:X17"/>
    <mergeCell ref="M14:M17"/>
    <mergeCell ref="N14:N17"/>
    <mergeCell ref="U14:U17"/>
    <mergeCell ref="V14:V17"/>
    <mergeCell ref="W14:W17"/>
    <mergeCell ref="T16:T17"/>
    <mergeCell ref="L14:L17"/>
    <mergeCell ref="G6:G8"/>
    <mergeCell ref="H6:H8"/>
    <mergeCell ref="I6:I8"/>
    <mergeCell ref="A14:A17"/>
    <mergeCell ref="B14:B17"/>
    <mergeCell ref="C14:C17"/>
    <mergeCell ref="D14:D17"/>
    <mergeCell ref="E14:E17"/>
    <mergeCell ref="F14:F17"/>
    <mergeCell ref="G14:G17"/>
    <mergeCell ref="H14:H17"/>
    <mergeCell ref="I14:I17"/>
    <mergeCell ref="J14:J17"/>
    <mergeCell ref="K14:K17"/>
    <mergeCell ref="E2:G2"/>
    <mergeCell ref="A6:A8"/>
    <mergeCell ref="B6:B8"/>
    <mergeCell ref="C6:C8"/>
    <mergeCell ref="D6:D8"/>
    <mergeCell ref="F6:F8"/>
    <mergeCell ref="L61:M61"/>
    <mergeCell ref="L62:M62"/>
    <mergeCell ref="L63:M63"/>
    <mergeCell ref="P61:R61"/>
    <mergeCell ref="P62:R62"/>
    <mergeCell ref="P63:R63"/>
  </mergeCells>
  <conditionalFormatting sqref="A20:A59">
    <cfRule type="containsText" dxfId="9" priority="14" operator="containsText" text="Закрыто">
      <formula>NOT(ISERROR(SEARCH("Закрыто",A20)))</formula>
    </cfRule>
  </conditionalFormatting>
  <conditionalFormatting sqref="B20:B59">
    <cfRule type="colorScale" priority="5">
      <colorScale>
        <cfvo type="min"/>
        <cfvo type="max"/>
        <color theme="6" tint="0.59999389629810485"/>
        <color theme="5" tint="0.59999389629810485"/>
      </colorScale>
    </cfRule>
  </conditionalFormatting>
  <conditionalFormatting sqref="D20:D59">
    <cfRule type="colorScale" priority="4">
      <colorScale>
        <cfvo type="min"/>
        <cfvo type="max"/>
        <color theme="6" tint="0.59999389629810485"/>
        <color theme="5" tint="0.59999389629810485"/>
      </colorScale>
    </cfRule>
  </conditionalFormatting>
  <conditionalFormatting sqref="F20:F59">
    <cfRule type="containsText" dxfId="8" priority="13" operator="containsText" text="Закрыто">
      <formula>NOT(ISERROR(SEARCH("Закрыто",F20)))</formula>
    </cfRule>
  </conditionalFormatting>
  <conditionalFormatting sqref="F20:G59">
    <cfRule type="containsBlanks" dxfId="7" priority="18">
      <formula>LEN(TRIM(F20))=0</formula>
    </cfRule>
  </conditionalFormatting>
  <conditionalFormatting sqref="H20:H59">
    <cfRule type="containsText" dxfId="6" priority="15" operator="containsText" text="Ушел">
      <formula>NOT(ISERROR(SEARCH("Ушел",H20)))</formula>
    </cfRule>
  </conditionalFormatting>
  <conditionalFormatting sqref="I20:I59">
    <cfRule type="notContainsBlanks" dxfId="5" priority="19">
      <formula>LEN(TRIM(I20))&gt;0</formula>
    </cfRule>
  </conditionalFormatting>
  <conditionalFormatting sqref="J20:N59">
    <cfRule type="containsBlanks" dxfId="4" priority="17">
      <formula>LEN(TRIM(J20))=0</formula>
    </cfRule>
  </conditionalFormatting>
  <conditionalFormatting sqref="N20:N59">
    <cfRule type="colorScale" priority="8">
      <colorScale>
        <cfvo type="min"/>
        <cfvo type="max"/>
        <color theme="7" tint="0.79998168889431442"/>
        <color theme="7" tint="0.39997558519241921"/>
      </colorScale>
    </cfRule>
  </conditionalFormatting>
  <conditionalFormatting sqref="O20:O59">
    <cfRule type="notContainsBlanks" dxfId="3" priority="12">
      <formula>LEN(TRIM(O20))&gt;0</formula>
    </cfRule>
  </conditionalFormatting>
  <conditionalFormatting sqref="Q20:Q59">
    <cfRule type="notContainsBlanks" dxfId="2" priority="11">
      <formula>LEN(TRIM(Q20))&gt;0</formula>
    </cfRule>
  </conditionalFormatting>
  <conditionalFormatting sqref="S20:S59">
    <cfRule type="notContainsBlanks" dxfId="1" priority="10">
      <formula>LEN(TRIM(S20))&gt;0</formula>
    </cfRule>
  </conditionalFormatting>
  <conditionalFormatting sqref="U20:Y59">
    <cfRule type="containsBlanks" dxfId="0" priority="21">
      <formula>LEN(TRIM(U20))=0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45" workbookViewId="0">
      <selection activeCell="Y19" sqref="Y1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5</vt:i4>
      </vt:variant>
    </vt:vector>
  </HeadingPairs>
  <TitlesOfParts>
    <vt:vector size="8" baseType="lpstr">
      <vt:lpstr>инструкция</vt:lpstr>
      <vt:lpstr>модель</vt:lpstr>
      <vt:lpstr>пример</vt:lpstr>
      <vt:lpstr>closed</vt:lpstr>
      <vt:lpstr>IAT</vt:lpstr>
      <vt:lpstr>renegat</vt:lpstr>
      <vt:lpstr>ST</vt:lpstr>
      <vt:lpstr>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Смирнов</dc:creator>
  <cp:lastModifiedBy>Артем Смирнов</cp:lastModifiedBy>
  <dcterms:created xsi:type="dcterms:W3CDTF">2022-02-22T08:06:33Z</dcterms:created>
  <dcterms:modified xsi:type="dcterms:W3CDTF">2025-05-26T20:37:03Z</dcterms:modified>
</cp:coreProperties>
</file>