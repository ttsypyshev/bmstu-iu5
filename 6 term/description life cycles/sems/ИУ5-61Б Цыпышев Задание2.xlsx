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й семестр\Черненький\"/>
    </mc:Choice>
  </mc:AlternateContent>
  <xr:revisionPtr revIDLastSave="0" documentId="13_ncr:1_{7D19A8E1-9331-4A9D-B8E1-E09AF177E448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инструкция" sheetId="1" r:id="rId1"/>
    <sheet name="модель" sheetId="3" r:id="rId2"/>
    <sheet name="эксперимент" sheetId="4" r:id="rId3"/>
    <sheet name="пример" sheetId="2" r:id="rId4"/>
  </sheets>
  <definedNames>
    <definedName name="ALT">модель!$K$1</definedName>
    <definedName name="AST">модель!$K$2</definedName>
    <definedName name="closed">модель!$C$3</definedName>
    <definedName name="E1F">модель!$N$3</definedName>
    <definedName name="E2F">модель!$N$4</definedName>
    <definedName name="E3F">модель!$N$5</definedName>
    <definedName name="IAT">модель!$B$9:$D$12</definedName>
    <definedName name="MXQ">модель!$K$3</definedName>
    <definedName name="NLC">модель!$M$1</definedName>
    <definedName name="renegat">модель!$E$3</definedName>
    <definedName name="RUNC">эксперимент!$C$2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эксперимент!$C$54</definedName>
    <definedName name="solver_typ" localSheetId="2" hidden="1">1</definedName>
    <definedName name="solver_val" localSheetId="2" hidden="1">0</definedName>
    <definedName name="solver_ver" localSheetId="2" hidden="1">3</definedName>
    <definedName name="ST">модель!$G$9:$I$11</definedName>
    <definedName name="start">модель!$A$3</definedName>
  </definedNames>
  <calcPr calcId="191029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4" l="1"/>
  <c r="K27" i="4"/>
  <c r="K28" i="4" s="1"/>
  <c r="K29" i="4" s="1"/>
  <c r="K30" i="4" s="1"/>
  <c r="K31" i="4" s="1"/>
  <c r="K32" i="4" s="1"/>
  <c r="K33" i="4" s="1"/>
  <c r="K34" i="4" s="1"/>
  <c r="Z31" i="4" l="1"/>
  <c r="Z30" i="4"/>
  <c r="Z29" i="4"/>
  <c r="Y31" i="4"/>
  <c r="Y30" i="4"/>
  <c r="Y29" i="4"/>
  <c r="X31" i="4"/>
  <c r="X30" i="4"/>
  <c r="X29" i="4"/>
  <c r="I47" i="4" l="1"/>
  <c r="H47" i="4"/>
  <c r="G47" i="4"/>
  <c r="F47" i="4"/>
  <c r="E47" i="4"/>
  <c r="D47" i="4"/>
  <c r="C47" i="4"/>
  <c r="B47" i="4"/>
  <c r="M19" i="3" l="1"/>
  <c r="F19" i="3"/>
  <c r="T19" i="3" l="1"/>
  <c r="R19" i="3"/>
  <c r="P19" i="3"/>
  <c r="C9" i="3" l="1"/>
  <c r="B10" i="3"/>
  <c r="C10" i="3"/>
  <c r="B11" i="3"/>
  <c r="C11" i="3"/>
  <c r="B12" i="3" s="1"/>
  <c r="C12" i="3" s="1"/>
  <c r="B105" i="3" l="1"/>
  <c r="C105" i="3" s="1"/>
  <c r="B114" i="3"/>
  <c r="C114" i="3" s="1"/>
  <c r="B90" i="3"/>
  <c r="C90" i="3" s="1"/>
  <c r="B98" i="3"/>
  <c r="C98" i="3" s="1"/>
  <c r="B61" i="3"/>
  <c r="C61" i="3" s="1"/>
  <c r="B69" i="3"/>
  <c r="C69" i="3" s="1"/>
  <c r="B77" i="3"/>
  <c r="C77" i="3" s="1"/>
  <c r="B85" i="3"/>
  <c r="C85" i="3" s="1"/>
  <c r="B115" i="3"/>
  <c r="C115" i="3" s="1"/>
  <c r="B91" i="3"/>
  <c r="C91" i="3" s="1"/>
  <c r="B99" i="3"/>
  <c r="C99" i="3" s="1"/>
  <c r="B62" i="3"/>
  <c r="C62" i="3" s="1"/>
  <c r="B70" i="3"/>
  <c r="C70" i="3" s="1"/>
  <c r="B78" i="3"/>
  <c r="C78" i="3" s="1"/>
  <c r="B86" i="3"/>
  <c r="C86" i="3" s="1"/>
  <c r="B116" i="3"/>
  <c r="C116" i="3" s="1"/>
  <c r="B92" i="3"/>
  <c r="C92" i="3" s="1"/>
  <c r="B100" i="3"/>
  <c r="C100" i="3" s="1"/>
  <c r="B63" i="3"/>
  <c r="C63" i="3" s="1"/>
  <c r="B71" i="3"/>
  <c r="C71" i="3" s="1"/>
  <c r="B79" i="3"/>
  <c r="C79" i="3" s="1"/>
  <c r="B87" i="3"/>
  <c r="C87" i="3" s="1"/>
  <c r="B117" i="3"/>
  <c r="C117" i="3" s="1"/>
  <c r="B93" i="3"/>
  <c r="C93" i="3" s="1"/>
  <c r="B101" i="3"/>
  <c r="C101" i="3" s="1"/>
  <c r="B64" i="3"/>
  <c r="C64" i="3" s="1"/>
  <c r="B72" i="3"/>
  <c r="C72" i="3" s="1"/>
  <c r="B80" i="3"/>
  <c r="C80" i="3" s="1"/>
  <c r="B97" i="3"/>
  <c r="C97" i="3" s="1"/>
  <c r="B68" i="3"/>
  <c r="C68" i="3" s="1"/>
  <c r="B84" i="3"/>
  <c r="C84" i="3" s="1"/>
  <c r="B106" i="3"/>
  <c r="C106" i="3" s="1"/>
  <c r="B107" i="3"/>
  <c r="C107" i="3" s="1"/>
  <c r="B108" i="3"/>
  <c r="C108" i="3" s="1"/>
  <c r="B109" i="3"/>
  <c r="C109" i="3" s="1"/>
  <c r="B110" i="3"/>
  <c r="C110" i="3" s="1"/>
  <c r="B118" i="3"/>
  <c r="C118" i="3" s="1"/>
  <c r="B94" i="3"/>
  <c r="C94" i="3" s="1"/>
  <c r="B102" i="3"/>
  <c r="C102" i="3" s="1"/>
  <c r="B65" i="3"/>
  <c r="C65" i="3" s="1"/>
  <c r="B73" i="3"/>
  <c r="C73" i="3" s="1"/>
  <c r="B81" i="3"/>
  <c r="C81" i="3" s="1"/>
  <c r="B111" i="3"/>
  <c r="C111" i="3" s="1"/>
  <c r="B119" i="3"/>
  <c r="C119" i="3" s="1"/>
  <c r="B95" i="3"/>
  <c r="C95" i="3" s="1"/>
  <c r="B103" i="3"/>
  <c r="C103" i="3" s="1"/>
  <c r="B66" i="3"/>
  <c r="C66" i="3" s="1"/>
  <c r="B74" i="3"/>
  <c r="C74" i="3" s="1"/>
  <c r="B82" i="3"/>
  <c r="C82" i="3" s="1"/>
  <c r="B88" i="3"/>
  <c r="C88" i="3" s="1"/>
  <c r="B96" i="3"/>
  <c r="C96" i="3" s="1"/>
  <c r="B104" i="3"/>
  <c r="C104" i="3" s="1"/>
  <c r="B67" i="3"/>
  <c r="C67" i="3" s="1"/>
  <c r="B75" i="3"/>
  <c r="C75" i="3" s="1"/>
  <c r="B83" i="3"/>
  <c r="C83" i="3" s="1"/>
  <c r="B113" i="3"/>
  <c r="C113" i="3" s="1"/>
  <c r="B89" i="3"/>
  <c r="C89" i="3" s="1"/>
  <c r="B60" i="3"/>
  <c r="C60" i="3" s="1"/>
  <c r="B76" i="3"/>
  <c r="C76" i="3" s="1"/>
  <c r="B112" i="3"/>
  <c r="C112" i="3" s="1"/>
  <c r="B21" i="3"/>
  <c r="C21" i="3" s="1"/>
  <c r="B37" i="3"/>
  <c r="C37" i="3" s="1"/>
  <c r="B53" i="3"/>
  <c r="C53" i="3" s="1"/>
  <c r="B22" i="3"/>
  <c r="C22" i="3" s="1"/>
  <c r="B38" i="3"/>
  <c r="C38" i="3" s="1"/>
  <c r="B54" i="3"/>
  <c r="C54" i="3" s="1"/>
  <c r="B23" i="3"/>
  <c r="C23" i="3" s="1"/>
  <c r="B39" i="3"/>
  <c r="C39" i="3" s="1"/>
  <c r="B55" i="3"/>
  <c r="C55" i="3" s="1"/>
  <c r="B24" i="3"/>
  <c r="C24" i="3" s="1"/>
  <c r="B40" i="3"/>
  <c r="C40" i="3" s="1"/>
  <c r="B56" i="3"/>
  <c r="C56" i="3" s="1"/>
  <c r="B25" i="3"/>
  <c r="C25" i="3" s="1"/>
  <c r="B41" i="3"/>
  <c r="C41" i="3" s="1"/>
  <c r="B57" i="3"/>
  <c r="C57" i="3" s="1"/>
  <c r="B26" i="3"/>
  <c r="C26" i="3" s="1"/>
  <c r="B42" i="3"/>
  <c r="C42" i="3" s="1"/>
  <c r="B58" i="3"/>
  <c r="C58" i="3" s="1"/>
  <c r="B27" i="3"/>
  <c r="C27" i="3" s="1"/>
  <c r="B43" i="3"/>
  <c r="C43" i="3" s="1"/>
  <c r="B59" i="3"/>
  <c r="C59" i="3" s="1"/>
  <c r="B28" i="3"/>
  <c r="C28" i="3" s="1"/>
  <c r="B44" i="3"/>
  <c r="C44" i="3" s="1"/>
  <c r="B20" i="3"/>
  <c r="C20" i="3" s="1"/>
  <c r="F20" i="3" s="1"/>
  <c r="Z20" i="3" s="1"/>
  <c r="B29" i="3"/>
  <c r="C29" i="3" s="1"/>
  <c r="B45" i="3"/>
  <c r="C45" i="3" s="1"/>
  <c r="B30" i="3"/>
  <c r="C30" i="3" s="1"/>
  <c r="B46" i="3"/>
  <c r="C46" i="3" s="1"/>
  <c r="B31" i="3"/>
  <c r="C31" i="3" s="1"/>
  <c r="B47" i="3"/>
  <c r="C47" i="3" s="1"/>
  <c r="B32" i="3"/>
  <c r="C32" i="3" s="1"/>
  <c r="B48" i="3"/>
  <c r="C48" i="3" s="1"/>
  <c r="B33" i="3"/>
  <c r="C33" i="3" s="1"/>
  <c r="B49" i="3"/>
  <c r="C49" i="3" s="1"/>
  <c r="B34" i="3"/>
  <c r="C34" i="3" s="1"/>
  <c r="B50" i="3"/>
  <c r="C50" i="3" s="1"/>
  <c r="B35" i="3"/>
  <c r="C35" i="3" s="1"/>
  <c r="B51" i="3"/>
  <c r="C51" i="3" s="1"/>
  <c r="B36" i="3"/>
  <c r="C36" i="3" s="1"/>
  <c r="B52" i="3"/>
  <c r="C52" i="3" s="1"/>
  <c r="F21" i="3" l="1"/>
  <c r="Z21" i="3" s="1"/>
  <c r="L20" i="3"/>
  <c r="J20" i="3"/>
  <c r="K20" i="3"/>
  <c r="A20" i="3"/>
  <c r="H9" i="3"/>
  <c r="M20" i="3" l="1"/>
  <c r="G20" i="3" s="1"/>
  <c r="H20" i="3" s="1"/>
  <c r="G10" i="3"/>
  <c r="F22" i="3"/>
  <c r="Z22" i="3" s="1"/>
  <c r="A21" i="3"/>
  <c r="A78" i="1"/>
  <c r="C22" i="1"/>
  <c r="B23" i="1" s="1"/>
  <c r="C23" i="1" s="1"/>
  <c r="B24" i="1" s="1"/>
  <c r="C24" i="1" s="1"/>
  <c r="C14" i="1"/>
  <c r="B15" i="1" s="1"/>
  <c r="C15" i="1" s="1"/>
  <c r="B16" i="1" s="1"/>
  <c r="C16" i="1" s="1"/>
  <c r="B17" i="1" s="1"/>
  <c r="C17" i="1" s="1"/>
  <c r="D113" i="3" l="1"/>
  <c r="E113" i="3" s="1"/>
  <c r="D97" i="3"/>
  <c r="E97" i="3" s="1"/>
  <c r="D60" i="3"/>
  <c r="E60" i="3" s="1"/>
  <c r="D84" i="3"/>
  <c r="E84" i="3" s="1"/>
  <c r="D114" i="3"/>
  <c r="E114" i="3" s="1"/>
  <c r="D90" i="3"/>
  <c r="E90" i="3" s="1"/>
  <c r="D98" i="3"/>
  <c r="E98" i="3" s="1"/>
  <c r="D61" i="3"/>
  <c r="E61" i="3" s="1"/>
  <c r="D69" i="3"/>
  <c r="E69" i="3" s="1"/>
  <c r="D77" i="3"/>
  <c r="E77" i="3" s="1"/>
  <c r="D85" i="3"/>
  <c r="E85" i="3" s="1"/>
  <c r="D115" i="3"/>
  <c r="E115" i="3" s="1"/>
  <c r="D62" i="3"/>
  <c r="E62" i="3" s="1"/>
  <c r="D116" i="3"/>
  <c r="E116" i="3" s="1"/>
  <c r="D92" i="3"/>
  <c r="E92" i="3" s="1"/>
  <c r="D100" i="3"/>
  <c r="E100" i="3" s="1"/>
  <c r="D63" i="3"/>
  <c r="E63" i="3" s="1"/>
  <c r="D71" i="3"/>
  <c r="E71" i="3" s="1"/>
  <c r="D79" i="3"/>
  <c r="E79" i="3" s="1"/>
  <c r="D87" i="3"/>
  <c r="E87" i="3" s="1"/>
  <c r="D106" i="3"/>
  <c r="E106" i="3" s="1"/>
  <c r="D107" i="3"/>
  <c r="E107" i="3" s="1"/>
  <c r="D108" i="3"/>
  <c r="E108" i="3" s="1"/>
  <c r="D109" i="3"/>
  <c r="E109" i="3" s="1"/>
  <c r="D101" i="3"/>
  <c r="E101" i="3" s="1"/>
  <c r="D64" i="3"/>
  <c r="E64" i="3" s="1"/>
  <c r="D80" i="3"/>
  <c r="E80" i="3" s="1"/>
  <c r="D110" i="3"/>
  <c r="E110" i="3" s="1"/>
  <c r="D118" i="3"/>
  <c r="E118" i="3" s="1"/>
  <c r="D94" i="3"/>
  <c r="E94" i="3" s="1"/>
  <c r="D102" i="3"/>
  <c r="E102" i="3" s="1"/>
  <c r="D65" i="3"/>
  <c r="E65" i="3" s="1"/>
  <c r="D73" i="3"/>
  <c r="E73" i="3" s="1"/>
  <c r="D81" i="3"/>
  <c r="E81" i="3" s="1"/>
  <c r="D111" i="3"/>
  <c r="E111" i="3" s="1"/>
  <c r="D119" i="3"/>
  <c r="E119" i="3" s="1"/>
  <c r="D103" i="3"/>
  <c r="E103" i="3" s="1"/>
  <c r="D66" i="3"/>
  <c r="E66" i="3" s="1"/>
  <c r="D82" i="3"/>
  <c r="E82" i="3" s="1"/>
  <c r="D96" i="3"/>
  <c r="E96" i="3" s="1"/>
  <c r="D104" i="3"/>
  <c r="E104" i="3" s="1"/>
  <c r="D67" i="3"/>
  <c r="E67" i="3" s="1"/>
  <c r="D75" i="3"/>
  <c r="E75" i="3" s="1"/>
  <c r="D83" i="3"/>
  <c r="E83" i="3" s="1"/>
  <c r="D112" i="3"/>
  <c r="E112" i="3" s="1"/>
  <c r="N20" i="3"/>
  <c r="U20" i="3"/>
  <c r="I20" i="3"/>
  <c r="F23" i="3"/>
  <c r="Z23" i="3" s="1"/>
  <c r="A22" i="3"/>
  <c r="D46" i="3"/>
  <c r="E46" i="3" s="1"/>
  <c r="D47" i="3"/>
  <c r="E47" i="3" s="1"/>
  <c r="D58" i="3"/>
  <c r="E58" i="3" s="1"/>
  <c r="D59" i="3"/>
  <c r="E59" i="3" s="1"/>
  <c r="D49" i="3"/>
  <c r="E49" i="3" s="1"/>
  <c r="D34" i="3"/>
  <c r="E34" i="3" s="1"/>
  <c r="D21" i="3"/>
  <c r="E21" i="3" s="1"/>
  <c r="D35" i="3"/>
  <c r="E35" i="3" s="1"/>
  <c r="D36" i="3"/>
  <c r="E36" i="3" s="1"/>
  <c r="D23" i="3"/>
  <c r="E23" i="3" s="1"/>
  <c r="D39" i="3"/>
  <c r="E39" i="3" s="1"/>
  <c r="D51" i="3"/>
  <c r="E51" i="3" s="1"/>
  <c r="D41" i="3"/>
  <c r="E41" i="3" s="1"/>
  <c r="D28" i="3"/>
  <c r="E28" i="3" s="1"/>
  <c r="D52" i="3"/>
  <c r="E52" i="3" s="1"/>
  <c r="D42" i="3"/>
  <c r="E42" i="3" s="1"/>
  <c r="D29" i="3"/>
  <c r="E29" i="3" s="1"/>
  <c r="D53" i="3"/>
  <c r="E53" i="3" s="1"/>
  <c r="D43" i="3"/>
  <c r="E43" i="3" s="1"/>
  <c r="D30" i="3"/>
  <c r="E30" i="3" s="1"/>
  <c r="D44" i="3"/>
  <c r="E44" i="3" s="1"/>
  <c r="D32" i="3"/>
  <c r="E32" i="3" s="1"/>
  <c r="H10" i="3"/>
  <c r="G11" i="3" s="1"/>
  <c r="H11" i="3" s="1"/>
  <c r="D76" i="3" l="1"/>
  <c r="E76" i="3" s="1"/>
  <c r="D78" i="3"/>
  <c r="E78" i="3" s="1"/>
  <c r="D40" i="3"/>
  <c r="E40" i="3" s="1"/>
  <c r="D33" i="3"/>
  <c r="E33" i="3" s="1"/>
  <c r="D68" i="3"/>
  <c r="E68" i="3" s="1"/>
  <c r="D55" i="3"/>
  <c r="E55" i="3" s="1"/>
  <c r="D25" i="3"/>
  <c r="E25" i="3" s="1"/>
  <c r="D56" i="3"/>
  <c r="E56" i="3" s="1"/>
  <c r="D74" i="3"/>
  <c r="E74" i="3" s="1"/>
  <c r="D70" i="3"/>
  <c r="E70" i="3" s="1"/>
  <c r="D57" i="3"/>
  <c r="E57" i="3" s="1"/>
  <c r="D88" i="3"/>
  <c r="E88" i="3" s="1"/>
  <c r="D31" i="3"/>
  <c r="E31" i="3" s="1"/>
  <c r="D38" i="3"/>
  <c r="E38" i="3" s="1"/>
  <c r="D50" i="3"/>
  <c r="E50" i="3" s="1"/>
  <c r="D93" i="3"/>
  <c r="E93" i="3" s="1"/>
  <c r="D89" i="3"/>
  <c r="E89" i="3" s="1"/>
  <c r="D72" i="3"/>
  <c r="E72" i="3" s="1"/>
  <c r="D24" i="3"/>
  <c r="E24" i="3" s="1"/>
  <c r="D20" i="3"/>
  <c r="E20" i="3" s="1"/>
  <c r="X20" i="3" s="1"/>
  <c r="D117" i="3"/>
  <c r="E117" i="3" s="1"/>
  <c r="D99" i="3"/>
  <c r="E99" i="3" s="1"/>
  <c r="D26" i="3"/>
  <c r="E26" i="3" s="1"/>
  <c r="D86" i="3"/>
  <c r="E86" i="3" s="1"/>
  <c r="D45" i="3"/>
  <c r="E45" i="3" s="1"/>
  <c r="D54" i="3"/>
  <c r="E54" i="3" s="1"/>
  <c r="D37" i="3"/>
  <c r="E37" i="3" s="1"/>
  <c r="D95" i="3"/>
  <c r="E95" i="3" s="1"/>
  <c r="D91" i="3"/>
  <c r="E91" i="3" s="1"/>
  <c r="D105" i="3"/>
  <c r="E105" i="3" s="1"/>
  <c r="D22" i="3"/>
  <c r="E22" i="3" s="1"/>
  <c r="F24" i="3"/>
  <c r="Z24" i="3" s="1"/>
  <c r="A23" i="3"/>
  <c r="D27" i="3"/>
  <c r="E27" i="3" s="1"/>
  <c r="D48" i="3"/>
  <c r="E48" i="3" s="1"/>
  <c r="S20" i="3"/>
  <c r="T20" i="3"/>
  <c r="L21" i="3" s="1"/>
  <c r="Q20" i="3"/>
  <c r="R20" i="3"/>
  <c r="K21" i="3" s="1"/>
  <c r="O20" i="3"/>
  <c r="P20" i="3" s="1"/>
  <c r="V20" i="3" l="1"/>
  <c r="Y20" i="3"/>
  <c r="W20" i="3" s="1"/>
  <c r="J21" i="3"/>
  <c r="M21" i="3" s="1"/>
  <c r="G21" i="3" s="1"/>
  <c r="H21" i="3" s="1"/>
  <c r="F25" i="3"/>
  <c r="Z25" i="3" s="1"/>
  <c r="A24" i="3"/>
  <c r="I21" i="3" l="1"/>
  <c r="U21" i="3"/>
  <c r="F26" i="3"/>
  <c r="Z26" i="3" s="1"/>
  <c r="A25" i="3"/>
  <c r="X21" i="3"/>
  <c r="V21" i="3"/>
  <c r="N21" i="3"/>
  <c r="S21" i="3" l="1"/>
  <c r="F27" i="3"/>
  <c r="Z27" i="3" s="1"/>
  <c r="A26" i="3"/>
  <c r="Q21" i="3"/>
  <c r="R21" i="3" s="1"/>
  <c r="K22" i="3" s="1"/>
  <c r="O21" i="3"/>
  <c r="P21" i="3" s="1"/>
  <c r="J22" i="3" s="1"/>
  <c r="T21" i="3"/>
  <c r="L22" i="3" s="1"/>
  <c r="M22" i="3" l="1"/>
  <c r="G22" i="3" s="1"/>
  <c r="H22" i="3" s="1"/>
  <c r="I22" i="3" s="1"/>
  <c r="Y21" i="3"/>
  <c r="W21" i="3" s="1"/>
  <c r="F28" i="3"/>
  <c r="Z28" i="3" s="1"/>
  <c r="A27" i="3"/>
  <c r="U22" i="3" l="1"/>
  <c r="X22" i="3"/>
  <c r="V22" i="3"/>
  <c r="N22" i="3"/>
  <c r="F29" i="3"/>
  <c r="Z29" i="3" s="1"/>
  <c r="A28" i="3"/>
  <c r="S22" i="3" l="1"/>
  <c r="T22" i="3" s="1"/>
  <c r="Q22" i="3"/>
  <c r="R22" i="3" s="1"/>
  <c r="K23" i="3" s="1"/>
  <c r="O22" i="3"/>
  <c r="P22" i="3" s="1"/>
  <c r="J23" i="3" s="1"/>
  <c r="F30" i="3"/>
  <c r="Z30" i="3" s="1"/>
  <c r="A29" i="3"/>
  <c r="Y22" i="3" l="1"/>
  <c r="W22" i="3" s="1"/>
  <c r="L23" i="3"/>
  <c r="M23" i="3" s="1"/>
  <c r="G23" i="3" s="1"/>
  <c r="F31" i="3"/>
  <c r="Z31" i="3" s="1"/>
  <c r="A30" i="3"/>
  <c r="F32" i="3" l="1"/>
  <c r="Z32" i="3" s="1"/>
  <c r="A31" i="3"/>
  <c r="H23" i="3"/>
  <c r="F33" i="3" l="1"/>
  <c r="Z33" i="3" s="1"/>
  <c r="A32" i="3"/>
  <c r="I23" i="3"/>
  <c r="U23" i="3" s="1"/>
  <c r="N23" i="3"/>
  <c r="S23" i="3" s="1"/>
  <c r="T23" i="3" s="1"/>
  <c r="L24" i="3" s="1"/>
  <c r="V23" i="3"/>
  <c r="F34" i="3" l="1"/>
  <c r="Z34" i="3" s="1"/>
  <c r="A33" i="3"/>
  <c r="O23" i="3"/>
  <c r="P23" i="3" s="1"/>
  <c r="J24" i="3" s="1"/>
  <c r="Q23" i="3"/>
  <c r="R23" i="3" s="1"/>
  <c r="K24" i="3" s="1"/>
  <c r="F35" i="3" l="1"/>
  <c r="Z35" i="3" s="1"/>
  <c r="A34" i="3"/>
  <c r="Y23" i="3"/>
  <c r="W23" i="3" s="1"/>
  <c r="X23" i="3" s="1"/>
  <c r="M24" i="3"/>
  <c r="G24" i="3" s="1"/>
  <c r="H24" i="3" s="1"/>
  <c r="F36" i="3" l="1"/>
  <c r="Z36" i="3" s="1"/>
  <c r="A35" i="3"/>
  <c r="I24" i="3"/>
  <c r="U24" i="3" s="1"/>
  <c r="N24" i="3"/>
  <c r="S24" i="3" s="1"/>
  <c r="V24" i="3"/>
  <c r="F37" i="3" l="1"/>
  <c r="Z37" i="3" s="1"/>
  <c r="A36" i="3"/>
  <c r="T24" i="3"/>
  <c r="L25" i="3" s="1"/>
  <c r="Q24" i="3"/>
  <c r="R24" i="3" s="1"/>
  <c r="K25" i="3" s="1"/>
  <c r="O24" i="3"/>
  <c r="P24" i="3" s="1"/>
  <c r="J25" i="3" s="1"/>
  <c r="F38" i="3" l="1"/>
  <c r="Z38" i="3" s="1"/>
  <c r="A37" i="3"/>
  <c r="M25" i="3"/>
  <c r="G25" i="3" s="1"/>
  <c r="H25" i="3" s="1"/>
  <c r="Y24" i="3"/>
  <c r="W24" i="3" s="1"/>
  <c r="X24" i="3" s="1"/>
  <c r="F39" i="3" l="1"/>
  <c r="Z39" i="3" s="1"/>
  <c r="A38" i="3"/>
  <c r="I25" i="3"/>
  <c r="U25" i="3" s="1"/>
  <c r="N25" i="3"/>
  <c r="O25" i="3" s="1"/>
  <c r="P25" i="3" s="1"/>
  <c r="J26" i="3" s="1"/>
  <c r="V25" i="3"/>
  <c r="F40" i="3" l="1"/>
  <c r="Z40" i="3" s="1"/>
  <c r="A39" i="3"/>
  <c r="Q25" i="3"/>
  <c r="R25" i="3" s="1"/>
  <c r="K26" i="3" s="1"/>
  <c r="S25" i="3"/>
  <c r="T25" i="3" s="1"/>
  <c r="L26" i="3" s="1"/>
  <c r="Y25" i="3" l="1"/>
  <c r="W25" i="3" s="1"/>
  <c r="X25" i="3" s="1"/>
  <c r="F41" i="3"/>
  <c r="Z41" i="3" s="1"/>
  <c r="A40" i="3"/>
  <c r="M26" i="3"/>
  <c r="G26" i="3" s="1"/>
  <c r="H26" i="3" s="1"/>
  <c r="F42" i="3" l="1"/>
  <c r="Z42" i="3" s="1"/>
  <c r="A41" i="3"/>
  <c r="I26" i="3"/>
  <c r="U26" i="3" s="1"/>
  <c r="N26" i="3"/>
  <c r="Q26" i="3" s="1"/>
  <c r="R26" i="3" s="1"/>
  <c r="K27" i="3" s="1"/>
  <c r="V26" i="3"/>
  <c r="F43" i="3" l="1"/>
  <c r="Z43" i="3" s="1"/>
  <c r="A42" i="3"/>
  <c r="O26" i="3"/>
  <c r="P26" i="3" s="1"/>
  <c r="J27" i="3" s="1"/>
  <c r="S26" i="3"/>
  <c r="T26" i="3" s="1"/>
  <c r="L27" i="3" s="1"/>
  <c r="F44" i="3" l="1"/>
  <c r="Z44" i="3" s="1"/>
  <c r="A43" i="3"/>
  <c r="M27" i="3"/>
  <c r="G27" i="3" s="1"/>
  <c r="H27" i="3" s="1"/>
  <c r="Y26" i="3"/>
  <c r="W26" i="3" s="1"/>
  <c r="X26" i="3" s="1"/>
  <c r="F45" i="3" l="1"/>
  <c r="Z45" i="3" s="1"/>
  <c r="A44" i="3"/>
  <c r="I27" i="3"/>
  <c r="U27" i="3" s="1"/>
  <c r="N27" i="3"/>
  <c r="Q27" i="3" s="1"/>
  <c r="R27" i="3" s="1"/>
  <c r="K28" i="3" s="1"/>
  <c r="V27" i="3"/>
  <c r="F46" i="3" l="1"/>
  <c r="Z46" i="3" s="1"/>
  <c r="A45" i="3"/>
  <c r="S27" i="3"/>
  <c r="T27" i="3" s="1"/>
  <c r="L28" i="3" s="1"/>
  <c r="O27" i="3"/>
  <c r="P27" i="3" s="1"/>
  <c r="J28" i="3" s="1"/>
  <c r="F47" i="3" l="1"/>
  <c r="Z47" i="3" s="1"/>
  <c r="A46" i="3"/>
  <c r="M28" i="3"/>
  <c r="G28" i="3" s="1"/>
  <c r="H28" i="3" s="1"/>
  <c r="Y27" i="3"/>
  <c r="W27" i="3" s="1"/>
  <c r="X27" i="3" s="1"/>
  <c r="F48" i="3" l="1"/>
  <c r="Z48" i="3" s="1"/>
  <c r="A47" i="3"/>
  <c r="I28" i="3"/>
  <c r="U28" i="3" s="1"/>
  <c r="N28" i="3"/>
  <c r="S28" i="3" s="1"/>
  <c r="T28" i="3" s="1"/>
  <c r="L29" i="3" s="1"/>
  <c r="V28" i="3"/>
  <c r="F49" i="3" l="1"/>
  <c r="Z49" i="3" s="1"/>
  <c r="A48" i="3"/>
  <c r="O28" i="3"/>
  <c r="P28" i="3" s="1"/>
  <c r="J29" i="3" s="1"/>
  <c r="Q28" i="3"/>
  <c r="R28" i="3" s="1"/>
  <c r="Y28" i="3" l="1"/>
  <c r="W28" i="3" s="1"/>
  <c r="X28" i="3" s="1"/>
  <c r="F50" i="3"/>
  <c r="Z50" i="3" s="1"/>
  <c r="A49" i="3"/>
  <c r="K29" i="3"/>
  <c r="M29" i="3" s="1"/>
  <c r="G29" i="3" s="1"/>
  <c r="H29" i="3" s="1"/>
  <c r="F51" i="3" l="1"/>
  <c r="Z51" i="3" s="1"/>
  <c r="A50" i="3"/>
  <c r="I29" i="3"/>
  <c r="U29" i="3" s="1"/>
  <c r="N29" i="3"/>
  <c r="S29" i="3" s="1"/>
  <c r="T29" i="3" s="1"/>
  <c r="L30" i="3" s="1"/>
  <c r="V29" i="3"/>
  <c r="F52" i="3" l="1"/>
  <c r="Z52" i="3" s="1"/>
  <c r="A51" i="3"/>
  <c r="Q29" i="3"/>
  <c r="R29" i="3" s="1"/>
  <c r="K30" i="3" s="1"/>
  <c r="O29" i="3"/>
  <c r="P29" i="3" s="1"/>
  <c r="J30" i="3" s="1"/>
  <c r="F53" i="3" l="1"/>
  <c r="Z53" i="3" s="1"/>
  <c r="A52" i="3"/>
  <c r="M30" i="3"/>
  <c r="G30" i="3" s="1"/>
  <c r="H30" i="3" s="1"/>
  <c r="V30" i="3" s="1"/>
  <c r="Y29" i="3"/>
  <c r="W29" i="3" s="1"/>
  <c r="X29" i="3" s="1"/>
  <c r="F54" i="3" l="1"/>
  <c r="Z54" i="3" s="1"/>
  <c r="A53" i="3"/>
  <c r="N30" i="3"/>
  <c r="Q30" i="3" s="1"/>
  <c r="R30" i="3" s="1"/>
  <c r="K31" i="3" s="1"/>
  <c r="I30" i="3"/>
  <c r="U30" i="3" s="1"/>
  <c r="F55" i="3" l="1"/>
  <c r="Z55" i="3" s="1"/>
  <c r="A54" i="3"/>
  <c r="S30" i="3"/>
  <c r="T30" i="3" s="1"/>
  <c r="L31" i="3" s="1"/>
  <c r="O30" i="3"/>
  <c r="P30" i="3" s="1"/>
  <c r="J31" i="3" s="1"/>
  <c r="Y30" i="3" l="1"/>
  <c r="W30" i="3" s="1"/>
  <c r="X30" i="3" s="1"/>
  <c r="F56" i="3"/>
  <c r="Z56" i="3" s="1"/>
  <c r="A55" i="3"/>
  <c r="M31" i="3"/>
  <c r="G31" i="3" s="1"/>
  <c r="H31" i="3" s="1"/>
  <c r="N31" i="3" s="1"/>
  <c r="S31" i="3" s="1"/>
  <c r="T31" i="3" s="1"/>
  <c r="F57" i="3" l="1"/>
  <c r="Z57" i="3" s="1"/>
  <c r="A56" i="3"/>
  <c r="I31" i="3"/>
  <c r="U31" i="3" s="1"/>
  <c r="V31" i="3"/>
  <c r="O31" i="3"/>
  <c r="P31" i="3" s="1"/>
  <c r="J32" i="3" s="1"/>
  <c r="Q31" i="3"/>
  <c r="R31" i="3" s="1"/>
  <c r="K32" i="3" s="1"/>
  <c r="L32" i="3"/>
  <c r="F58" i="3" l="1"/>
  <c r="Z58" i="3" s="1"/>
  <c r="A57" i="3"/>
  <c r="Y31" i="3"/>
  <c r="W31" i="3" s="1"/>
  <c r="X31" i="3" s="1"/>
  <c r="M32" i="3"/>
  <c r="G32" i="3" s="1"/>
  <c r="F59" i="3" l="1"/>
  <c r="A58" i="3"/>
  <c r="H32" i="3"/>
  <c r="F60" i="3" l="1"/>
  <c r="Z60" i="3" s="1"/>
  <c r="Z59" i="3"/>
  <c r="A59" i="3"/>
  <c r="I32" i="3"/>
  <c r="U32" i="3" s="1"/>
  <c r="N32" i="3"/>
  <c r="S32" i="3" s="1"/>
  <c r="T32" i="3" s="1"/>
  <c r="L33" i="3" s="1"/>
  <c r="V32" i="3"/>
  <c r="A60" i="3" l="1"/>
  <c r="F61" i="3"/>
  <c r="Z61" i="3" s="1"/>
  <c r="Q32" i="3"/>
  <c r="R32" i="3" s="1"/>
  <c r="O32" i="3"/>
  <c r="P32" i="3" s="1"/>
  <c r="A61" i="3" l="1"/>
  <c r="F62" i="3"/>
  <c r="Z62" i="3" s="1"/>
  <c r="J33" i="3"/>
  <c r="K33" i="3"/>
  <c r="Y32" i="3"/>
  <c r="W32" i="3" s="1"/>
  <c r="X32" i="3" s="1"/>
  <c r="F63" i="3" l="1"/>
  <c r="Z63" i="3" s="1"/>
  <c r="A62" i="3"/>
  <c r="M33" i="3"/>
  <c r="G33" i="3" s="1"/>
  <c r="H33" i="3" s="1"/>
  <c r="N33" i="3" s="1"/>
  <c r="S33" i="3" s="1"/>
  <c r="T33" i="3" s="1"/>
  <c r="L34" i="3" s="1"/>
  <c r="A63" i="3" l="1"/>
  <c r="F64" i="3"/>
  <c r="Z64" i="3" s="1"/>
  <c r="I33" i="3"/>
  <c r="U33" i="3" s="1"/>
  <c r="V33" i="3"/>
  <c r="Q33" i="3"/>
  <c r="R33" i="3" s="1"/>
  <c r="O33" i="3"/>
  <c r="P33" i="3" s="1"/>
  <c r="A64" i="3" l="1"/>
  <c r="F65" i="3"/>
  <c r="Z65" i="3" s="1"/>
  <c r="J34" i="3"/>
  <c r="K34" i="3"/>
  <c r="Y33" i="3"/>
  <c r="W33" i="3" s="1"/>
  <c r="X33" i="3" s="1"/>
  <c r="A65" i="3" l="1"/>
  <c r="F66" i="3"/>
  <c r="Z66" i="3" s="1"/>
  <c r="M34" i="3"/>
  <c r="G34" i="3" s="1"/>
  <c r="H34" i="3" s="1"/>
  <c r="N34" i="3" s="1"/>
  <c r="A66" i="3" l="1"/>
  <c r="F67" i="3"/>
  <c r="Z67" i="3" s="1"/>
  <c r="I34" i="3"/>
  <c r="U34" i="3" s="1"/>
  <c r="V34" i="3"/>
  <c r="S34" i="3"/>
  <c r="T34" i="3" s="1"/>
  <c r="L35" i="3" s="1"/>
  <c r="Q34" i="3"/>
  <c r="R34" i="3" s="1"/>
  <c r="O34" i="3"/>
  <c r="P34" i="3" s="1"/>
  <c r="J35" i="3" s="1"/>
  <c r="F68" i="3" l="1"/>
  <c r="Z68" i="3" s="1"/>
  <c r="A67" i="3"/>
  <c r="Y34" i="3"/>
  <c r="W34" i="3" s="1"/>
  <c r="X34" i="3" s="1"/>
  <c r="K35" i="3"/>
  <c r="M35" i="3" s="1"/>
  <c r="G35" i="3" s="1"/>
  <c r="H35" i="3" s="1"/>
  <c r="F69" i="3" l="1"/>
  <c r="Z69" i="3" s="1"/>
  <c r="A68" i="3"/>
  <c r="I35" i="3"/>
  <c r="U35" i="3" s="1"/>
  <c r="N35" i="3"/>
  <c r="V35" i="3"/>
  <c r="F70" i="3" l="1"/>
  <c r="Z70" i="3" s="1"/>
  <c r="A69" i="3"/>
  <c r="Q35" i="3"/>
  <c r="R35" i="3" s="1"/>
  <c r="O35" i="3"/>
  <c r="P35" i="3" s="1"/>
  <c r="S35" i="3"/>
  <c r="T35" i="3" s="1"/>
  <c r="L36" i="3" s="1"/>
  <c r="A70" i="3" l="1"/>
  <c r="F71" i="3"/>
  <c r="Z71" i="3" s="1"/>
  <c r="J36" i="3"/>
  <c r="K36" i="3"/>
  <c r="Y35" i="3"/>
  <c r="W35" i="3" s="1"/>
  <c r="X35" i="3" s="1"/>
  <c r="F72" i="3" l="1"/>
  <c r="Z72" i="3" s="1"/>
  <c r="A71" i="3"/>
  <c r="M36" i="3"/>
  <c r="G36" i="3" s="1"/>
  <c r="H36" i="3" s="1"/>
  <c r="V36" i="3" s="1"/>
  <c r="A72" i="3" l="1"/>
  <c r="F73" i="3"/>
  <c r="Z73" i="3" s="1"/>
  <c r="N36" i="3"/>
  <c r="S36" i="3" s="1"/>
  <c r="I36" i="3"/>
  <c r="U36" i="3" s="1"/>
  <c r="A73" i="3" l="1"/>
  <c r="F74" i="3"/>
  <c r="Z74" i="3" s="1"/>
  <c r="Q36" i="3"/>
  <c r="R36" i="3" s="1"/>
  <c r="K37" i="3" s="1"/>
  <c r="O36" i="3"/>
  <c r="P36" i="3" s="1"/>
  <c r="J37" i="3" s="1"/>
  <c r="T36" i="3"/>
  <c r="L37" i="3" s="1"/>
  <c r="F75" i="3" l="1"/>
  <c r="Z75" i="3" s="1"/>
  <c r="A74" i="3"/>
  <c r="M37" i="3"/>
  <c r="G37" i="3" s="1"/>
  <c r="H37" i="3" s="1"/>
  <c r="N37" i="3" s="1"/>
  <c r="O37" i="3" s="1"/>
  <c r="P37" i="3" s="1"/>
  <c r="Y36" i="3"/>
  <c r="W36" i="3" s="1"/>
  <c r="X36" i="3" s="1"/>
  <c r="A75" i="3" l="1"/>
  <c r="F76" i="3"/>
  <c r="Z76" i="3" s="1"/>
  <c r="I37" i="3"/>
  <c r="U37" i="3" s="1"/>
  <c r="V37" i="3"/>
  <c r="J38" i="3"/>
  <c r="Q37" i="3"/>
  <c r="R37" i="3" s="1"/>
  <c r="S37" i="3"/>
  <c r="T37" i="3" s="1"/>
  <c r="L38" i="3" s="1"/>
  <c r="F77" i="3" l="1"/>
  <c r="Z77" i="3" s="1"/>
  <c r="A76" i="3"/>
  <c r="K38" i="3"/>
  <c r="M38" i="3" s="1"/>
  <c r="G38" i="3" s="1"/>
  <c r="H38" i="3" s="1"/>
  <c r="Y37" i="3"/>
  <c r="W37" i="3" s="1"/>
  <c r="X37" i="3" s="1"/>
  <c r="A77" i="3" l="1"/>
  <c r="F78" i="3"/>
  <c r="Z78" i="3" s="1"/>
  <c r="I38" i="3"/>
  <c r="U38" i="3" s="1"/>
  <c r="N38" i="3"/>
  <c r="Q38" i="3" s="1"/>
  <c r="R38" i="3" s="1"/>
  <c r="V38" i="3"/>
  <c r="A78" i="3" l="1"/>
  <c r="F79" i="3"/>
  <c r="Z79" i="3" s="1"/>
  <c r="K39" i="3"/>
  <c r="S38" i="3"/>
  <c r="T38" i="3" s="1"/>
  <c r="L39" i="3" s="1"/>
  <c r="O38" i="3"/>
  <c r="P38" i="3" s="1"/>
  <c r="A79" i="3" l="1"/>
  <c r="F80" i="3"/>
  <c r="Z80" i="3" s="1"/>
  <c r="J39" i="3"/>
  <c r="M39" i="3" s="1"/>
  <c r="G39" i="3" s="1"/>
  <c r="Y38" i="3"/>
  <c r="W38" i="3" s="1"/>
  <c r="X38" i="3" s="1"/>
  <c r="A80" i="3" l="1"/>
  <c r="F81" i="3"/>
  <c r="Z81" i="3" s="1"/>
  <c r="H39" i="3"/>
  <c r="A81" i="3" l="1"/>
  <c r="F82" i="3"/>
  <c r="Z82" i="3" s="1"/>
  <c r="I39" i="3"/>
  <c r="U39" i="3" s="1"/>
  <c r="N39" i="3"/>
  <c r="V39" i="3"/>
  <c r="A82" i="3" l="1"/>
  <c r="F83" i="3"/>
  <c r="Z83" i="3" s="1"/>
  <c r="S39" i="3"/>
  <c r="T39" i="3" s="1"/>
  <c r="L40" i="3" s="1"/>
  <c r="O39" i="3"/>
  <c r="P39" i="3" s="1"/>
  <c r="Q39" i="3"/>
  <c r="R39" i="3" s="1"/>
  <c r="F84" i="3" l="1"/>
  <c r="Z84" i="3" s="1"/>
  <c r="A83" i="3"/>
  <c r="K40" i="3"/>
  <c r="J40" i="3"/>
  <c r="Y39" i="3"/>
  <c r="W39" i="3" s="1"/>
  <c r="X39" i="3" s="1"/>
  <c r="F85" i="3" l="1"/>
  <c r="Z85" i="3" s="1"/>
  <c r="A84" i="3"/>
  <c r="M40" i="3"/>
  <c r="G40" i="3" s="1"/>
  <c r="H40" i="3" s="1"/>
  <c r="V40" i="3" s="1"/>
  <c r="F86" i="3" l="1"/>
  <c r="Z86" i="3" s="1"/>
  <c r="A85" i="3"/>
  <c r="N40" i="3"/>
  <c r="S40" i="3" s="1"/>
  <c r="I40" i="3"/>
  <c r="U40" i="3" s="1"/>
  <c r="F87" i="3" l="1"/>
  <c r="F88" i="3" s="1"/>
  <c r="Z88" i="3" s="1"/>
  <c r="A86" i="3"/>
  <c r="T40" i="3"/>
  <c r="L41" i="3" s="1"/>
  <c r="Q40" i="3"/>
  <c r="R40" i="3" s="1"/>
  <c r="O40" i="3"/>
  <c r="P40" i="3" s="1"/>
  <c r="J41" i="3" s="1"/>
  <c r="A87" i="3" l="1"/>
  <c r="A88" i="3" s="1"/>
  <c r="Z87" i="3"/>
  <c r="F89" i="3"/>
  <c r="Z89" i="3" s="1"/>
  <c r="Y40" i="3"/>
  <c r="W40" i="3" s="1"/>
  <c r="X40" i="3" s="1"/>
  <c r="K41" i="3"/>
  <c r="M41" i="3" s="1"/>
  <c r="G41" i="3" s="1"/>
  <c r="H41" i="3" s="1"/>
  <c r="I41" i="3" s="1"/>
  <c r="U41" i="3" s="1"/>
  <c r="A89" i="3" l="1"/>
  <c r="F90" i="3"/>
  <c r="Z90" i="3" s="1"/>
  <c r="V41" i="3"/>
  <c r="N41" i="3"/>
  <c r="Q41" i="3" s="1"/>
  <c r="R41" i="3" s="1"/>
  <c r="A90" i="3" l="1"/>
  <c r="F91" i="3"/>
  <c r="Z91" i="3" s="1"/>
  <c r="S41" i="3"/>
  <c r="T41" i="3" s="1"/>
  <c r="L42" i="3" s="1"/>
  <c r="O41" i="3"/>
  <c r="P41" i="3" s="1"/>
  <c r="J42" i="3" s="1"/>
  <c r="K42" i="3"/>
  <c r="A91" i="3" l="1"/>
  <c r="F92" i="3"/>
  <c r="Z92" i="3" s="1"/>
  <c r="Y41" i="3"/>
  <c r="W41" i="3" s="1"/>
  <c r="X41" i="3" s="1"/>
  <c r="M42" i="3"/>
  <c r="G42" i="3" s="1"/>
  <c r="H42" i="3" s="1"/>
  <c r="I42" i="3" s="1"/>
  <c r="U42" i="3" s="1"/>
  <c r="F93" i="3" l="1"/>
  <c r="Z93" i="3" s="1"/>
  <c r="A92" i="3"/>
  <c r="V42" i="3"/>
  <c r="N42" i="3"/>
  <c r="O42" i="3" s="1"/>
  <c r="P42" i="3" s="1"/>
  <c r="F94" i="3" l="1"/>
  <c r="Z94" i="3" s="1"/>
  <c r="A93" i="3"/>
  <c r="S42" i="3"/>
  <c r="T42" i="3" s="1"/>
  <c r="L43" i="3" s="1"/>
  <c r="Q42" i="3"/>
  <c r="R42" i="3" s="1"/>
  <c r="K43" i="3" s="1"/>
  <c r="J43" i="3"/>
  <c r="A94" i="3" l="1"/>
  <c r="F95" i="3"/>
  <c r="Z95" i="3" s="1"/>
  <c r="Y42" i="3"/>
  <c r="W42" i="3" s="1"/>
  <c r="X42" i="3" s="1"/>
  <c r="M43" i="3"/>
  <c r="G43" i="3" s="1"/>
  <c r="H43" i="3" s="1"/>
  <c r="V43" i="3" s="1"/>
  <c r="F96" i="3" l="1"/>
  <c r="Z96" i="3" s="1"/>
  <c r="A95" i="3"/>
  <c r="N43" i="3"/>
  <c r="O43" i="3" s="1"/>
  <c r="P43" i="3" s="1"/>
  <c r="I43" i="3"/>
  <c r="U43" i="3" s="1"/>
  <c r="F97" i="3" l="1"/>
  <c r="Z97" i="3" s="1"/>
  <c r="A96" i="3"/>
  <c r="Q43" i="3"/>
  <c r="R43" i="3" s="1"/>
  <c r="K44" i="3" s="1"/>
  <c r="S43" i="3"/>
  <c r="T43" i="3" s="1"/>
  <c r="L44" i="3" s="1"/>
  <c r="J44" i="3"/>
  <c r="F98" i="3" l="1"/>
  <c r="Z98" i="3" s="1"/>
  <c r="A97" i="3"/>
  <c r="Y43" i="3"/>
  <c r="W43" i="3" s="1"/>
  <c r="X43" i="3" s="1"/>
  <c r="M44" i="3"/>
  <c r="G44" i="3" s="1"/>
  <c r="H44" i="3" s="1"/>
  <c r="N44" i="3" s="1"/>
  <c r="S44" i="3" s="1"/>
  <c r="F99" i="3" l="1"/>
  <c r="Z99" i="3" s="1"/>
  <c r="A98" i="3"/>
  <c r="V44" i="3"/>
  <c r="I44" i="3"/>
  <c r="U44" i="3" s="1"/>
  <c r="O44" i="3"/>
  <c r="P44" i="3" s="1"/>
  <c r="T44" i="3"/>
  <c r="Q44" i="3"/>
  <c r="R44" i="3" s="1"/>
  <c r="A99" i="3" l="1"/>
  <c r="F100" i="3"/>
  <c r="Z100" i="3" s="1"/>
  <c r="K45" i="3"/>
  <c r="J45" i="3"/>
  <c r="Y44" i="3"/>
  <c r="W44" i="3" s="1"/>
  <c r="X44" i="3" s="1"/>
  <c r="L45" i="3"/>
  <c r="A100" i="3" l="1"/>
  <c r="F101" i="3"/>
  <c r="Z101" i="3" s="1"/>
  <c r="M45" i="3"/>
  <c r="G45" i="3" s="1"/>
  <c r="H45" i="3" s="1"/>
  <c r="V45" i="3" s="1"/>
  <c r="F102" i="3" l="1"/>
  <c r="Z102" i="3" s="1"/>
  <c r="A101" i="3"/>
  <c r="I45" i="3"/>
  <c r="U45" i="3" s="1"/>
  <c r="N45" i="3"/>
  <c r="S45" i="3" s="1"/>
  <c r="T45" i="3" s="1"/>
  <c r="L46" i="3" s="1"/>
  <c r="A102" i="3" l="1"/>
  <c r="F103" i="3"/>
  <c r="Z103" i="3" s="1"/>
  <c r="Q45" i="3"/>
  <c r="R45" i="3" s="1"/>
  <c r="O45" i="3"/>
  <c r="P45" i="3" s="1"/>
  <c r="J46" i="3" s="1"/>
  <c r="F104" i="3" l="1"/>
  <c r="F105" i="3" s="1"/>
  <c r="Z105" i="3" s="1"/>
  <c r="A103" i="3"/>
  <c r="Y45" i="3"/>
  <c r="W45" i="3" s="1"/>
  <c r="X45" i="3" s="1"/>
  <c r="K46" i="3"/>
  <c r="M46" i="3" s="1"/>
  <c r="G46" i="3" s="1"/>
  <c r="H46" i="3" s="1"/>
  <c r="I46" i="3" s="1"/>
  <c r="U46" i="3" s="1"/>
  <c r="A104" i="3" l="1"/>
  <c r="A105" i="3" s="1"/>
  <c r="Z104" i="3"/>
  <c r="F106" i="3"/>
  <c r="Z106" i="3" s="1"/>
  <c r="V46" i="3"/>
  <c r="N46" i="3"/>
  <c r="Q46" i="3" s="1"/>
  <c r="R46" i="3" s="1"/>
  <c r="F107" i="3" l="1"/>
  <c r="Z107" i="3" s="1"/>
  <c r="A106" i="3"/>
  <c r="O46" i="3"/>
  <c r="P46" i="3" s="1"/>
  <c r="J47" i="3" s="1"/>
  <c r="S46" i="3"/>
  <c r="T46" i="3" s="1"/>
  <c r="L47" i="3" s="1"/>
  <c r="K47" i="3"/>
  <c r="A107" i="3" l="1"/>
  <c r="F108" i="3"/>
  <c r="Z108" i="3" s="1"/>
  <c r="Y46" i="3"/>
  <c r="W46" i="3" s="1"/>
  <c r="X46" i="3" s="1"/>
  <c r="M47" i="3"/>
  <c r="G47" i="3" s="1"/>
  <c r="H47" i="3" s="1"/>
  <c r="F109" i="3" l="1"/>
  <c r="Z109" i="3" s="1"/>
  <c r="A108" i="3"/>
  <c r="V47" i="3"/>
  <c r="I47" i="3"/>
  <c r="U47" i="3" s="1"/>
  <c r="N47" i="3"/>
  <c r="S47" i="3" s="1"/>
  <c r="T47" i="3" s="1"/>
  <c r="F110" i="3" l="1"/>
  <c r="Z110" i="3" s="1"/>
  <c r="A109" i="3"/>
  <c r="O47" i="3"/>
  <c r="P47" i="3" s="1"/>
  <c r="J48" i="3" s="1"/>
  <c r="Q47" i="3"/>
  <c r="R47" i="3" s="1"/>
  <c r="L48" i="3"/>
  <c r="F111" i="3" l="1"/>
  <c r="Z111" i="3" s="1"/>
  <c r="A110" i="3"/>
  <c r="Y47" i="3"/>
  <c r="W47" i="3" s="1"/>
  <c r="X47" i="3" s="1"/>
  <c r="K48" i="3"/>
  <c r="M48" i="3" s="1"/>
  <c r="G48" i="3" s="1"/>
  <c r="H48" i="3" s="1"/>
  <c r="A111" i="3" l="1"/>
  <c r="F112" i="3"/>
  <c r="Z112" i="3" s="1"/>
  <c r="N48" i="3"/>
  <c r="Q48" i="3" s="1"/>
  <c r="R48" i="3" s="1"/>
  <c r="K49" i="3" s="1"/>
  <c r="V48" i="3"/>
  <c r="I48" i="3"/>
  <c r="U48" i="3" s="1"/>
  <c r="A112" i="3" l="1"/>
  <c r="F113" i="3"/>
  <c r="Z113" i="3" s="1"/>
  <c r="S48" i="3"/>
  <c r="T48" i="3" s="1"/>
  <c r="L49" i="3" s="1"/>
  <c r="O48" i="3"/>
  <c r="P48" i="3" s="1"/>
  <c r="J49" i="3" s="1"/>
  <c r="F114" i="3" l="1"/>
  <c r="Z114" i="3" s="1"/>
  <c r="A113" i="3"/>
  <c r="M49" i="3"/>
  <c r="G49" i="3" s="1"/>
  <c r="H49" i="3" s="1"/>
  <c r="N49" i="3" s="1"/>
  <c r="S49" i="3" s="1"/>
  <c r="T49" i="3" s="1"/>
  <c r="L50" i="3" s="1"/>
  <c r="Y48" i="3"/>
  <c r="W48" i="3" s="1"/>
  <c r="X48" i="3" s="1"/>
  <c r="F115" i="3" l="1"/>
  <c r="Z115" i="3" s="1"/>
  <c r="A114" i="3"/>
  <c r="V49" i="3"/>
  <c r="I49" i="3"/>
  <c r="U49" i="3" s="1"/>
  <c r="Q49" i="3"/>
  <c r="R49" i="3" s="1"/>
  <c r="K50" i="3" s="1"/>
  <c r="O49" i="3"/>
  <c r="P49" i="3" s="1"/>
  <c r="Y49" i="3" l="1"/>
  <c r="W49" i="3" s="1"/>
  <c r="X49" i="3" s="1"/>
  <c r="A115" i="3"/>
  <c r="F116" i="3"/>
  <c r="Z116" i="3" s="1"/>
  <c r="J50" i="3"/>
  <c r="M50" i="3" s="1"/>
  <c r="G50" i="3" s="1"/>
  <c r="H50" i="3" s="1"/>
  <c r="A116" i="3" l="1"/>
  <c r="F117" i="3"/>
  <c r="Z117" i="3" s="1"/>
  <c r="N50" i="3"/>
  <c r="O50" i="3" s="1"/>
  <c r="P50" i="3" s="1"/>
  <c r="I50" i="3"/>
  <c r="U50" i="3" s="1"/>
  <c r="V50" i="3"/>
  <c r="F118" i="3" l="1"/>
  <c r="Z118" i="3" s="1"/>
  <c r="A117" i="3"/>
  <c r="Q50" i="3"/>
  <c r="R50" i="3" s="1"/>
  <c r="K51" i="3" s="1"/>
  <c r="S50" i="3"/>
  <c r="T50" i="3" s="1"/>
  <c r="L51" i="3" s="1"/>
  <c r="J51" i="3"/>
  <c r="A118" i="3" l="1"/>
  <c r="F119" i="3"/>
  <c r="Z119" i="3" s="1"/>
  <c r="K3" i="3" s="1"/>
  <c r="Y50" i="3"/>
  <c r="W50" i="3" s="1"/>
  <c r="X50" i="3" s="1"/>
  <c r="M51" i="3"/>
  <c r="G51" i="3" s="1"/>
  <c r="H51" i="3" s="1"/>
  <c r="I51" i="3" s="1"/>
  <c r="U51" i="3" s="1"/>
  <c r="A119" i="3" l="1"/>
  <c r="N51" i="3"/>
  <c r="S51" i="3" s="1"/>
  <c r="T51" i="3" s="1"/>
  <c r="L52" i="3" s="1"/>
  <c r="V51" i="3"/>
  <c r="Q51" i="3" l="1"/>
  <c r="R51" i="3" s="1"/>
  <c r="K52" i="3" s="1"/>
  <c r="O51" i="3"/>
  <c r="P51" i="3" s="1"/>
  <c r="J52" i="3" s="1"/>
  <c r="Y51" i="3" l="1"/>
  <c r="W51" i="3" s="1"/>
  <c r="X51" i="3" s="1"/>
  <c r="M52" i="3"/>
  <c r="G52" i="3" s="1"/>
  <c r="H52" i="3" s="1"/>
  <c r="I52" i="3" s="1"/>
  <c r="U52" i="3" s="1"/>
  <c r="V52" i="3" l="1"/>
  <c r="N52" i="3"/>
  <c r="S52" i="3" s="1"/>
  <c r="T52" i="3" s="1"/>
  <c r="L53" i="3" s="1"/>
  <c r="O52" i="3" l="1"/>
  <c r="P52" i="3" s="1"/>
  <c r="J53" i="3" s="1"/>
  <c r="Q52" i="3"/>
  <c r="R52" i="3" s="1"/>
  <c r="K53" i="3" s="1"/>
  <c r="Y52" i="3" l="1"/>
  <c r="W52" i="3" s="1"/>
  <c r="X52" i="3" s="1"/>
  <c r="M53" i="3"/>
  <c r="G53" i="3" s="1"/>
  <c r="H53" i="3" s="1"/>
  <c r="I53" i="3" s="1"/>
  <c r="V53" i="3" l="1"/>
  <c r="U53" i="3"/>
  <c r="N53" i="3"/>
  <c r="S53" i="3" s="1"/>
  <c r="T53" i="3" s="1"/>
  <c r="L54" i="3" s="1"/>
  <c r="Q53" i="3" l="1"/>
  <c r="R53" i="3" s="1"/>
  <c r="K54" i="3" s="1"/>
  <c r="O53" i="3"/>
  <c r="P53" i="3" s="1"/>
  <c r="J54" i="3" s="1"/>
  <c r="Y53" i="3" l="1"/>
  <c r="W53" i="3" s="1"/>
  <c r="X53" i="3" s="1"/>
  <c r="M54" i="3"/>
  <c r="G54" i="3" s="1"/>
  <c r="H54" i="3" s="1"/>
  <c r="I54" i="3" l="1"/>
  <c r="U54" i="3" s="1"/>
  <c r="V54" i="3"/>
  <c r="N54" i="3"/>
  <c r="S54" i="3" l="1"/>
  <c r="T54" i="3" s="1"/>
  <c r="Q54" i="3"/>
  <c r="R54" i="3" s="1"/>
  <c r="O54" i="3"/>
  <c r="P54" i="3" s="1"/>
  <c r="Y54" i="3" l="1"/>
  <c r="W54" i="3" s="1"/>
  <c r="X54" i="3" s="1"/>
  <c r="L55" i="3"/>
  <c r="J55" i="3"/>
  <c r="K55" i="3"/>
  <c r="M55" i="3" l="1"/>
  <c r="G55" i="3" s="1"/>
  <c r="H55" i="3" s="1"/>
  <c r="I55" i="3" l="1"/>
  <c r="U55" i="3" s="1"/>
  <c r="N55" i="3"/>
  <c r="V55" i="3"/>
  <c r="O55" i="3" l="1"/>
  <c r="P55" i="3" s="1"/>
  <c r="J56" i="3" s="1"/>
  <c r="Q55" i="3"/>
  <c r="R55" i="3" s="1"/>
  <c r="S55" i="3"/>
  <c r="T55" i="3" s="1"/>
  <c r="L56" i="3" s="1"/>
  <c r="K56" i="3" l="1"/>
  <c r="M56" i="3" s="1"/>
  <c r="G56" i="3" s="1"/>
  <c r="H56" i="3" s="1"/>
  <c r="Y55" i="3"/>
  <c r="W55" i="3" s="1"/>
  <c r="X55" i="3" s="1"/>
  <c r="I56" i="3" l="1"/>
  <c r="U56" i="3" s="1"/>
  <c r="N56" i="3"/>
  <c r="V56" i="3"/>
  <c r="O56" i="3" l="1"/>
  <c r="P56" i="3" s="1"/>
  <c r="S56" i="3"/>
  <c r="T56" i="3" s="1"/>
  <c r="L57" i="3" s="1"/>
  <c r="Q56" i="3"/>
  <c r="R56" i="3" s="1"/>
  <c r="K57" i="3" s="1"/>
  <c r="Y56" i="3" l="1"/>
  <c r="W56" i="3" s="1"/>
  <c r="X56" i="3" s="1"/>
  <c r="J57" i="3"/>
  <c r="M57" i="3" s="1"/>
  <c r="G57" i="3" s="1"/>
  <c r="H57" i="3" s="1"/>
  <c r="V57" i="3" l="1"/>
  <c r="N57" i="3"/>
  <c r="S57" i="3" s="1"/>
  <c r="I57" i="3"/>
  <c r="U57" i="3" s="1"/>
  <c r="T57" i="3" l="1"/>
  <c r="L58" i="3" s="1"/>
  <c r="O57" i="3"/>
  <c r="P57" i="3" s="1"/>
  <c r="J58" i="3" s="1"/>
  <c r="Q57" i="3"/>
  <c r="R57" i="3" s="1"/>
  <c r="K58" i="3" s="1"/>
  <c r="Y57" i="3" l="1"/>
  <c r="W57" i="3" s="1"/>
  <c r="X57" i="3" s="1"/>
  <c r="M58" i="3"/>
  <c r="G58" i="3" s="1"/>
  <c r="H58" i="3" s="1"/>
  <c r="I58" i="3" l="1"/>
  <c r="U58" i="3" s="1"/>
  <c r="N58" i="3"/>
  <c r="V58" i="3"/>
  <c r="Q58" i="3" l="1"/>
  <c r="R58" i="3" s="1"/>
  <c r="O58" i="3"/>
  <c r="P58" i="3" s="1"/>
  <c r="S58" i="3"/>
  <c r="T58" i="3" s="1"/>
  <c r="Y58" i="3" l="1"/>
  <c r="W58" i="3" s="1"/>
  <c r="X58" i="3" s="1"/>
  <c r="K59" i="3"/>
  <c r="L59" i="3"/>
  <c r="J59" i="3"/>
  <c r="M59" i="3" l="1"/>
  <c r="G59" i="3" s="1"/>
  <c r="H59" i="3" s="1"/>
  <c r="V59" i="3" s="1"/>
  <c r="I59" i="3" l="1"/>
  <c r="U59" i="3" s="1"/>
  <c r="N59" i="3"/>
  <c r="O59" i="3" s="1"/>
  <c r="Q59" i="3" l="1"/>
  <c r="R59" i="3" s="1"/>
  <c r="K60" i="3" s="1"/>
  <c r="S59" i="3"/>
  <c r="T59" i="3" s="1"/>
  <c r="L60" i="3" s="1"/>
  <c r="P59" i="3"/>
  <c r="J60" i="3" s="1"/>
  <c r="Y59" i="3" l="1"/>
  <c r="W59" i="3" s="1"/>
  <c r="X59" i="3" s="1"/>
  <c r="M60" i="3"/>
  <c r="G60" i="3" s="1"/>
  <c r="H60" i="3" s="1"/>
  <c r="V60" i="3" s="1"/>
  <c r="I60" i="3" l="1"/>
  <c r="U60" i="3" s="1"/>
  <c r="N60" i="3"/>
  <c r="S60" i="3" s="1"/>
  <c r="T60" i="3" s="1"/>
  <c r="Q60" i="3" l="1"/>
  <c r="R60" i="3" s="1"/>
  <c r="K61" i="3" s="1"/>
  <c r="O60" i="3"/>
  <c r="P60" i="3" s="1"/>
  <c r="J61" i="3" s="1"/>
  <c r="L61" i="3"/>
  <c r="M61" i="3" l="1"/>
  <c r="G61" i="3" s="1"/>
  <c r="H61" i="3" s="1"/>
  <c r="V61" i="3" s="1"/>
  <c r="Y60" i="3"/>
  <c r="W60" i="3" s="1"/>
  <c r="X60" i="3" s="1"/>
  <c r="I61" i="3" l="1"/>
  <c r="U61" i="3" s="1"/>
  <c r="N61" i="3"/>
  <c r="S61" i="3" s="1"/>
  <c r="Q61" i="3" l="1"/>
  <c r="R61" i="3" s="1"/>
  <c r="K62" i="3" s="1"/>
  <c r="O61" i="3"/>
  <c r="P61" i="3" s="1"/>
  <c r="J62" i="3" s="1"/>
  <c r="T61" i="3"/>
  <c r="L62" i="3" s="1"/>
  <c r="Y61" i="3" l="1"/>
  <c r="W61" i="3" s="1"/>
  <c r="X61" i="3" s="1"/>
  <c r="M62" i="3"/>
  <c r="G62" i="3" s="1"/>
  <c r="H62" i="3" s="1"/>
  <c r="I62" i="3" l="1"/>
  <c r="U62" i="3" s="1"/>
  <c r="V62" i="3"/>
  <c r="N62" i="3"/>
  <c r="O62" i="3" l="1"/>
  <c r="P62" i="3" s="1"/>
  <c r="J63" i="3" s="1"/>
  <c r="Q62" i="3"/>
  <c r="R62" i="3" s="1"/>
  <c r="S62" i="3"/>
  <c r="T62" i="3" s="1"/>
  <c r="K63" i="3" l="1"/>
  <c r="Y62" i="3"/>
  <c r="W62" i="3" s="1"/>
  <c r="X62" i="3" s="1"/>
  <c r="L63" i="3"/>
  <c r="M63" i="3" l="1"/>
  <c r="G63" i="3" s="1"/>
  <c r="H63" i="3" s="1"/>
  <c r="I63" i="3" s="1"/>
  <c r="U63" i="3" s="1"/>
  <c r="V63" i="3" l="1"/>
  <c r="N63" i="3"/>
  <c r="S63" i="3" l="1"/>
  <c r="T63" i="3" s="1"/>
  <c r="L64" i="3" s="1"/>
  <c r="Q63" i="3"/>
  <c r="R63" i="3" s="1"/>
  <c r="K64" i="3" s="1"/>
  <c r="O63" i="3"/>
  <c r="P63" i="3" s="1"/>
  <c r="J64" i="3" s="1"/>
  <c r="M64" i="3" l="1"/>
  <c r="G64" i="3" s="1"/>
  <c r="H64" i="3" s="1"/>
  <c r="V64" i="3" s="1"/>
  <c r="Y63" i="3"/>
  <c r="W63" i="3" s="1"/>
  <c r="X63" i="3" s="1"/>
  <c r="I64" i="3" l="1"/>
  <c r="U64" i="3" s="1"/>
  <c r="N64" i="3"/>
  <c r="S64" i="3" s="1"/>
  <c r="Q64" i="3" l="1"/>
  <c r="R64" i="3" s="1"/>
  <c r="K65" i="3" s="1"/>
  <c r="O64" i="3"/>
  <c r="P64" i="3" s="1"/>
  <c r="J65" i="3" s="1"/>
  <c r="T64" i="3"/>
  <c r="L65" i="3" s="1"/>
  <c r="Y64" i="3" l="1"/>
  <c r="W64" i="3" s="1"/>
  <c r="X64" i="3" s="1"/>
  <c r="M65" i="3"/>
  <c r="G65" i="3" s="1"/>
  <c r="H65" i="3" s="1"/>
  <c r="V65" i="3" s="1"/>
  <c r="N65" i="3" l="1"/>
  <c r="S65" i="3" s="1"/>
  <c r="T65" i="3" s="1"/>
  <c r="I65" i="3"/>
  <c r="U65" i="3" s="1"/>
  <c r="Q65" i="3" l="1"/>
  <c r="R65" i="3" s="1"/>
  <c r="K66" i="3" s="1"/>
  <c r="O65" i="3"/>
  <c r="P65" i="3" s="1"/>
  <c r="J66" i="3" s="1"/>
  <c r="L66" i="3"/>
  <c r="Y65" i="3" l="1"/>
  <c r="W65" i="3" s="1"/>
  <c r="X65" i="3" s="1"/>
  <c r="M66" i="3"/>
  <c r="G66" i="3" s="1"/>
  <c r="H66" i="3" s="1"/>
  <c r="V66" i="3" s="1"/>
  <c r="N66" i="3" l="1"/>
  <c r="O66" i="3" s="1"/>
  <c r="P66" i="3" s="1"/>
  <c r="J67" i="3" s="1"/>
  <c r="I66" i="3"/>
  <c r="U66" i="3" s="1"/>
  <c r="S66" i="3" l="1"/>
  <c r="T66" i="3" s="1"/>
  <c r="L67" i="3" s="1"/>
  <c r="Q66" i="3"/>
  <c r="R66" i="3" s="1"/>
  <c r="K67" i="3" s="1"/>
  <c r="Y66" i="3" l="1"/>
  <c r="W66" i="3" s="1"/>
  <c r="X66" i="3" s="1"/>
  <c r="M67" i="3"/>
  <c r="G67" i="3" s="1"/>
  <c r="H67" i="3" s="1"/>
  <c r="V67" i="3" s="1"/>
  <c r="N67" i="3" l="1"/>
  <c r="Q67" i="3" s="1"/>
  <c r="I67" i="3"/>
  <c r="U67" i="3" s="1"/>
  <c r="O67" i="3" l="1"/>
  <c r="P67" i="3" s="1"/>
  <c r="J68" i="3" s="1"/>
  <c r="S67" i="3"/>
  <c r="T67" i="3" s="1"/>
  <c r="L68" i="3" s="1"/>
  <c r="R67" i="3"/>
  <c r="K68" i="3" s="1"/>
  <c r="Y67" i="3" l="1"/>
  <c r="W67" i="3" s="1"/>
  <c r="X67" i="3" s="1"/>
  <c r="M68" i="3"/>
  <c r="G68" i="3" s="1"/>
  <c r="H68" i="3" s="1"/>
  <c r="V68" i="3" s="1"/>
  <c r="N68" i="3" l="1"/>
  <c r="Q68" i="3" s="1"/>
  <c r="I68" i="3"/>
  <c r="U68" i="3" s="1"/>
  <c r="S68" i="3" l="1"/>
  <c r="T68" i="3" s="1"/>
  <c r="L69" i="3" s="1"/>
  <c r="O68" i="3"/>
  <c r="P68" i="3" s="1"/>
  <c r="J69" i="3" s="1"/>
  <c r="R68" i="3"/>
  <c r="K69" i="3" s="1"/>
  <c r="Y68" i="3" l="1"/>
  <c r="W68" i="3" s="1"/>
  <c r="X68" i="3" s="1"/>
  <c r="M69" i="3"/>
  <c r="G69" i="3" s="1"/>
  <c r="H69" i="3" s="1"/>
  <c r="V69" i="3" s="1"/>
  <c r="N69" i="3" l="1"/>
  <c r="Q69" i="3" s="1"/>
  <c r="I69" i="3"/>
  <c r="U69" i="3" s="1"/>
  <c r="O69" i="3" l="1"/>
  <c r="P69" i="3" s="1"/>
  <c r="J70" i="3" s="1"/>
  <c r="S69" i="3"/>
  <c r="T69" i="3" s="1"/>
  <c r="L70" i="3" s="1"/>
  <c r="R69" i="3"/>
  <c r="K70" i="3" s="1"/>
  <c r="Y69" i="3" l="1"/>
  <c r="W69" i="3" s="1"/>
  <c r="X69" i="3" s="1"/>
  <c r="M70" i="3"/>
  <c r="G70" i="3" s="1"/>
  <c r="H70" i="3" s="1"/>
  <c r="N70" i="3" s="1"/>
  <c r="I70" i="3" l="1"/>
  <c r="U70" i="3" s="1"/>
  <c r="V70" i="3"/>
  <c r="O70" i="3"/>
  <c r="P70" i="3" s="1"/>
  <c r="J71" i="3" s="1"/>
  <c r="Q70" i="3"/>
  <c r="R70" i="3" s="1"/>
  <c r="K71" i="3" s="1"/>
  <c r="S70" i="3"/>
  <c r="T70" i="3" s="1"/>
  <c r="Y70" i="3" l="1"/>
  <c r="W70" i="3" s="1"/>
  <c r="X70" i="3" s="1"/>
  <c r="L71" i="3"/>
  <c r="M71" i="3" s="1"/>
  <c r="G71" i="3" s="1"/>
  <c r="H71" i="3" s="1"/>
  <c r="I71" i="3" l="1"/>
  <c r="U71" i="3" s="1"/>
  <c r="V71" i="3"/>
  <c r="N71" i="3"/>
  <c r="S71" i="3" l="1"/>
  <c r="T71" i="3" s="1"/>
  <c r="O71" i="3"/>
  <c r="P71" i="3" s="1"/>
  <c r="J72" i="3" s="1"/>
  <c r="Q71" i="3"/>
  <c r="R71" i="3" s="1"/>
  <c r="K72" i="3" s="1"/>
  <c r="Y71" i="3" l="1"/>
  <c r="W71" i="3" s="1"/>
  <c r="X71" i="3" s="1"/>
  <c r="L72" i="3"/>
  <c r="M72" i="3" s="1"/>
  <c r="G72" i="3" s="1"/>
  <c r="H72" i="3" s="1"/>
  <c r="I72" i="3" l="1"/>
  <c r="U72" i="3" s="1"/>
  <c r="V72" i="3"/>
  <c r="N72" i="3"/>
  <c r="Q72" i="3" l="1"/>
  <c r="R72" i="3" s="1"/>
  <c r="K73" i="3" s="1"/>
  <c r="S72" i="3"/>
  <c r="T72" i="3" s="1"/>
  <c r="O72" i="3"/>
  <c r="P72" i="3" s="1"/>
  <c r="J73" i="3" s="1"/>
  <c r="Y72" i="3" l="1"/>
  <c r="W72" i="3" s="1"/>
  <c r="X72" i="3" s="1"/>
  <c r="L73" i="3"/>
  <c r="M73" i="3" s="1"/>
  <c r="G73" i="3" s="1"/>
  <c r="H73" i="3" s="1"/>
  <c r="I73" i="3" l="1"/>
  <c r="U73" i="3" s="1"/>
  <c r="V73" i="3"/>
  <c r="N73" i="3"/>
  <c r="O73" i="3" l="1"/>
  <c r="P73" i="3" s="1"/>
  <c r="J74" i="3" s="1"/>
  <c r="Q73" i="3"/>
  <c r="R73" i="3" s="1"/>
  <c r="K74" i="3" s="1"/>
  <c r="S73" i="3"/>
  <c r="T73" i="3" s="1"/>
  <c r="Y73" i="3" l="1"/>
  <c r="W73" i="3" s="1"/>
  <c r="X73" i="3" s="1"/>
  <c r="L74" i="3"/>
  <c r="M74" i="3" s="1"/>
  <c r="G74" i="3" s="1"/>
  <c r="H74" i="3" s="1"/>
  <c r="V74" i="3" l="1"/>
  <c r="I74" i="3"/>
  <c r="U74" i="3" s="1"/>
  <c r="N74" i="3"/>
  <c r="S74" i="3" l="1"/>
  <c r="T74" i="3" s="1"/>
  <c r="O74" i="3"/>
  <c r="P74" i="3" s="1"/>
  <c r="J75" i="3" s="1"/>
  <c r="Q74" i="3"/>
  <c r="R74" i="3" s="1"/>
  <c r="K75" i="3" l="1"/>
  <c r="Y74" i="3"/>
  <c r="W74" i="3" s="1"/>
  <c r="X74" i="3" s="1"/>
  <c r="L75" i="3"/>
  <c r="M75" i="3" l="1"/>
  <c r="G75" i="3" s="1"/>
  <c r="H75" i="3" s="1"/>
  <c r="I75" i="3" s="1"/>
  <c r="U75" i="3" s="1"/>
  <c r="N75" i="3" l="1"/>
  <c r="O75" i="3" s="1"/>
  <c r="P75" i="3" s="1"/>
  <c r="J76" i="3" s="1"/>
  <c r="V75" i="3"/>
  <c r="S75" i="3" l="1"/>
  <c r="T75" i="3" s="1"/>
  <c r="L76" i="3" s="1"/>
  <c r="Q75" i="3"/>
  <c r="R75" i="3" s="1"/>
  <c r="K76" i="3" s="1"/>
  <c r="Y75" i="3" l="1"/>
  <c r="W75" i="3" s="1"/>
  <c r="X75" i="3" s="1"/>
  <c r="M76" i="3"/>
  <c r="G76" i="3" s="1"/>
  <c r="H76" i="3" s="1"/>
  <c r="V76" i="3" s="1"/>
  <c r="N76" i="3" l="1"/>
  <c r="Q76" i="3" s="1"/>
  <c r="R76" i="3" s="1"/>
  <c r="I76" i="3"/>
  <c r="U76" i="3" s="1"/>
  <c r="S76" i="3" l="1"/>
  <c r="T76" i="3" s="1"/>
  <c r="L77" i="3" s="1"/>
  <c r="O76" i="3"/>
  <c r="P76" i="3" s="1"/>
  <c r="J77" i="3" s="1"/>
  <c r="K77" i="3"/>
  <c r="Y76" i="3" l="1"/>
  <c r="W76" i="3" s="1"/>
  <c r="X76" i="3" s="1"/>
  <c r="M77" i="3"/>
  <c r="G77" i="3" s="1"/>
  <c r="H77" i="3" s="1"/>
  <c r="I77" i="3" s="1"/>
  <c r="N77" i="3" l="1"/>
  <c r="O77" i="3" s="1"/>
  <c r="P77" i="3" s="1"/>
  <c r="V77" i="3"/>
  <c r="U77" i="3"/>
  <c r="S77" i="3" l="1"/>
  <c r="T77" i="3" s="1"/>
  <c r="Q77" i="3"/>
  <c r="R77" i="3" s="1"/>
  <c r="K78" i="3" s="1"/>
  <c r="J78" i="3"/>
  <c r="Y77" i="3" l="1"/>
  <c r="W77" i="3" s="1"/>
  <c r="X77" i="3" s="1"/>
  <c r="L78" i="3"/>
  <c r="M78" i="3" s="1"/>
  <c r="G78" i="3" s="1"/>
  <c r="H78" i="3" s="1"/>
  <c r="N78" i="3" l="1"/>
  <c r="O78" i="3" s="1"/>
  <c r="P78" i="3" s="1"/>
  <c r="V78" i="3"/>
  <c r="I78" i="3"/>
  <c r="U78" i="3" s="1"/>
  <c r="Q78" i="3" l="1"/>
  <c r="R78" i="3" s="1"/>
  <c r="K79" i="3" s="1"/>
  <c r="S78" i="3"/>
  <c r="T78" i="3" s="1"/>
  <c r="J79" i="3"/>
  <c r="Y78" i="3" l="1"/>
  <c r="W78" i="3" s="1"/>
  <c r="X78" i="3" s="1"/>
  <c r="L79" i="3"/>
  <c r="M79" i="3" s="1"/>
  <c r="G79" i="3" s="1"/>
  <c r="H79" i="3" s="1"/>
  <c r="I79" i="3" l="1"/>
  <c r="U79" i="3" s="1"/>
  <c r="V79" i="3"/>
  <c r="N79" i="3"/>
  <c r="S79" i="3" l="1"/>
  <c r="T79" i="3" s="1"/>
  <c r="O79" i="3"/>
  <c r="P79" i="3" s="1"/>
  <c r="J80" i="3" s="1"/>
  <c r="Q79" i="3"/>
  <c r="R79" i="3" s="1"/>
  <c r="K80" i="3" s="1"/>
  <c r="L80" i="3" l="1"/>
  <c r="M80" i="3" s="1"/>
  <c r="G80" i="3" s="1"/>
  <c r="H80" i="3" s="1"/>
  <c r="Y79" i="3"/>
  <c r="W79" i="3" s="1"/>
  <c r="X79" i="3" s="1"/>
  <c r="I80" i="3" l="1"/>
  <c r="U80" i="3" s="1"/>
  <c r="V80" i="3"/>
  <c r="N80" i="3"/>
  <c r="O80" i="3" l="1"/>
  <c r="P80" i="3" s="1"/>
  <c r="J81" i="3" s="1"/>
  <c r="Q80" i="3"/>
  <c r="R80" i="3" s="1"/>
  <c r="K81" i="3" s="1"/>
  <c r="S80" i="3"/>
  <c r="T80" i="3" s="1"/>
  <c r="Y80" i="3" l="1"/>
  <c r="W80" i="3" s="1"/>
  <c r="X80" i="3" s="1"/>
  <c r="L81" i="3"/>
  <c r="M81" i="3" s="1"/>
  <c r="G81" i="3" s="1"/>
  <c r="H81" i="3" s="1"/>
  <c r="V81" i="3" l="1"/>
  <c r="I81" i="3"/>
  <c r="U81" i="3" s="1"/>
  <c r="N81" i="3"/>
  <c r="O81" i="3" l="1"/>
  <c r="P81" i="3" s="1"/>
  <c r="J82" i="3" s="1"/>
  <c r="S81" i="3"/>
  <c r="T81" i="3" s="1"/>
  <c r="Q81" i="3"/>
  <c r="R81" i="3" s="1"/>
  <c r="K82" i="3" l="1"/>
  <c r="Y81" i="3"/>
  <c r="W81" i="3" s="1"/>
  <c r="X81" i="3" s="1"/>
  <c r="L82" i="3"/>
  <c r="M82" i="3" l="1"/>
  <c r="G82" i="3" s="1"/>
  <c r="H82" i="3" s="1"/>
  <c r="V82" i="3" s="1"/>
  <c r="N82" i="3" l="1"/>
  <c r="Q82" i="3" s="1"/>
  <c r="R82" i="3" s="1"/>
  <c r="K83" i="3" s="1"/>
  <c r="I82" i="3"/>
  <c r="U82" i="3" s="1"/>
  <c r="O82" i="3" l="1"/>
  <c r="P82" i="3" s="1"/>
  <c r="J83" i="3" s="1"/>
  <c r="S82" i="3"/>
  <c r="T82" i="3" s="1"/>
  <c r="L83" i="3" s="1"/>
  <c r="Y82" i="3" l="1"/>
  <c r="W82" i="3" s="1"/>
  <c r="X82" i="3" s="1"/>
  <c r="M83" i="3"/>
  <c r="G83" i="3" s="1"/>
  <c r="H83" i="3" s="1"/>
  <c r="V83" i="3" l="1"/>
  <c r="I83" i="3"/>
  <c r="U83" i="3" s="1"/>
  <c r="N83" i="3"/>
  <c r="S83" i="3" l="1"/>
  <c r="T83" i="3" s="1"/>
  <c r="O83" i="3"/>
  <c r="P83" i="3" s="1"/>
  <c r="J84" i="3" s="1"/>
  <c r="Q83" i="3"/>
  <c r="R83" i="3" s="1"/>
  <c r="K84" i="3" s="1"/>
  <c r="Y83" i="3" l="1"/>
  <c r="W83" i="3" s="1"/>
  <c r="X83" i="3" s="1"/>
  <c r="L84" i="3"/>
  <c r="M84" i="3" s="1"/>
  <c r="G84" i="3" s="1"/>
  <c r="H84" i="3" s="1"/>
  <c r="V84" i="3" l="1"/>
  <c r="I84" i="3"/>
  <c r="U84" i="3" s="1"/>
  <c r="N84" i="3"/>
  <c r="Q84" i="3" l="1"/>
  <c r="R84" i="3" s="1"/>
  <c r="K85" i="3" s="1"/>
  <c r="O84" i="3"/>
  <c r="P84" i="3" s="1"/>
  <c r="J85" i="3" s="1"/>
  <c r="S84" i="3"/>
  <c r="T84" i="3" s="1"/>
  <c r="L85" i="3" l="1"/>
  <c r="M85" i="3" s="1"/>
  <c r="G85" i="3" s="1"/>
  <c r="H85" i="3" s="1"/>
  <c r="Y84" i="3"/>
  <c r="W84" i="3" s="1"/>
  <c r="X84" i="3" s="1"/>
  <c r="V85" i="3" l="1"/>
  <c r="I85" i="3"/>
  <c r="N85" i="3"/>
  <c r="Q85" i="3" l="1"/>
  <c r="R85" i="3" s="1"/>
  <c r="K86" i="3" s="1"/>
  <c r="S85" i="3"/>
  <c r="T85" i="3" s="1"/>
  <c r="O85" i="3"/>
  <c r="P85" i="3" s="1"/>
  <c r="U85" i="3"/>
  <c r="J86" i="3" l="1"/>
  <c r="Y85" i="3"/>
  <c r="W85" i="3" s="1"/>
  <c r="X85" i="3" s="1"/>
  <c r="L86" i="3"/>
  <c r="M86" i="3" l="1"/>
  <c r="G86" i="3" s="1"/>
  <c r="H86" i="3" s="1"/>
  <c r="V86" i="3" s="1"/>
  <c r="N86" i="3" l="1"/>
  <c r="S86" i="3" s="1"/>
  <c r="T86" i="3" s="1"/>
  <c r="I86" i="3"/>
  <c r="U86" i="3" s="1"/>
  <c r="Q86" i="3" l="1"/>
  <c r="R86" i="3" s="1"/>
  <c r="K87" i="3" s="1"/>
  <c r="O86" i="3"/>
  <c r="P86" i="3" s="1"/>
  <c r="J87" i="3" s="1"/>
  <c r="L87" i="3"/>
  <c r="Y86" i="3" l="1"/>
  <c r="W86" i="3" s="1"/>
  <c r="X86" i="3" s="1"/>
  <c r="M87" i="3"/>
  <c r="G87" i="3" s="1"/>
  <c r="H87" i="3" s="1"/>
  <c r="I87" i="3" s="1"/>
  <c r="N87" i="3" l="1"/>
  <c r="Q87" i="3" s="1"/>
  <c r="V87" i="3"/>
  <c r="U87" i="3"/>
  <c r="O87" i="3" l="1"/>
  <c r="P87" i="3" s="1"/>
  <c r="J88" i="3" s="1"/>
  <c r="S87" i="3"/>
  <c r="T87" i="3" s="1"/>
  <c r="L88" i="3" s="1"/>
  <c r="R87" i="3"/>
  <c r="Y87" i="3" l="1"/>
  <c r="W87" i="3" s="1"/>
  <c r="X87" i="3" s="1"/>
  <c r="K88" i="3"/>
  <c r="M88" i="3" s="1"/>
  <c r="G88" i="3" s="1"/>
  <c r="H88" i="3" s="1"/>
  <c r="N88" i="3" l="1"/>
  <c r="O88" i="3" s="1"/>
  <c r="P88" i="3" s="1"/>
  <c r="V88" i="3"/>
  <c r="I88" i="3"/>
  <c r="U88" i="3" s="1"/>
  <c r="Q88" i="3" l="1"/>
  <c r="R88" i="3" s="1"/>
  <c r="K89" i="3" s="1"/>
  <c r="S88" i="3"/>
  <c r="T88" i="3" s="1"/>
  <c r="L89" i="3" s="1"/>
  <c r="J89" i="3"/>
  <c r="Y88" i="3" l="1"/>
  <c r="W88" i="3" s="1"/>
  <c r="X88" i="3" s="1"/>
  <c r="M89" i="3"/>
  <c r="G89" i="3" s="1"/>
  <c r="H89" i="3" s="1"/>
  <c r="I89" i="3" l="1"/>
  <c r="U89" i="3" s="1"/>
  <c r="V89" i="3"/>
  <c r="N89" i="3"/>
  <c r="O89" i="3" l="1"/>
  <c r="P89" i="3" s="1"/>
  <c r="Q89" i="3"/>
  <c r="R89" i="3" s="1"/>
  <c r="K90" i="3" s="1"/>
  <c r="S89" i="3"/>
  <c r="T89" i="3" s="1"/>
  <c r="J90" i="3" l="1"/>
  <c r="Y89" i="3"/>
  <c r="W89" i="3" s="1"/>
  <c r="X89" i="3" s="1"/>
  <c r="L90" i="3"/>
  <c r="M90" i="3" l="1"/>
  <c r="G90" i="3" s="1"/>
  <c r="H90" i="3" s="1"/>
  <c r="N90" i="3" l="1"/>
  <c r="Q90" i="3" s="1"/>
  <c r="I90" i="3"/>
  <c r="U90" i="3" s="1"/>
  <c r="V90" i="3"/>
  <c r="S90" i="3" l="1"/>
  <c r="T90" i="3" s="1"/>
  <c r="O90" i="3"/>
  <c r="P90" i="3" s="1"/>
  <c r="J91" i="3" s="1"/>
  <c r="R90" i="3"/>
  <c r="K91" i="3" s="1"/>
  <c r="L91" i="3" l="1"/>
  <c r="M91" i="3" s="1"/>
  <c r="G91" i="3" s="1"/>
  <c r="H91" i="3" s="1"/>
  <c r="I91" i="3" s="1"/>
  <c r="Y90" i="3"/>
  <c r="W90" i="3" s="1"/>
  <c r="X90" i="3" s="1"/>
  <c r="N91" i="3" l="1"/>
  <c r="Q91" i="3" s="1"/>
  <c r="V91" i="3"/>
  <c r="U91" i="3"/>
  <c r="R91" i="3" l="1"/>
  <c r="K92" i="3" s="1"/>
  <c r="O91" i="3"/>
  <c r="P91" i="3" s="1"/>
  <c r="J92" i="3" s="1"/>
  <c r="S91" i="3"/>
  <c r="T91" i="3" s="1"/>
  <c r="L92" i="3" l="1"/>
  <c r="M92" i="3" s="1"/>
  <c r="G92" i="3" s="1"/>
  <c r="H92" i="3" s="1"/>
  <c r="I92" i="3" s="1"/>
  <c r="Y91" i="3"/>
  <c r="W91" i="3" s="1"/>
  <c r="X91" i="3" s="1"/>
  <c r="N92" i="3" l="1"/>
  <c r="O92" i="3" s="1"/>
  <c r="P92" i="3" s="1"/>
  <c r="J93" i="3" s="1"/>
  <c r="V92" i="3"/>
  <c r="U92" i="3"/>
  <c r="S92" i="3" l="1"/>
  <c r="T92" i="3" s="1"/>
  <c r="Q92" i="3"/>
  <c r="R92" i="3" s="1"/>
  <c r="K93" i="3" s="1"/>
  <c r="Y92" i="3" l="1"/>
  <c r="W92" i="3" s="1"/>
  <c r="X92" i="3" s="1"/>
  <c r="L93" i="3"/>
  <c r="M93" i="3" s="1"/>
  <c r="G93" i="3" s="1"/>
  <c r="H93" i="3" s="1"/>
  <c r="N93" i="3" s="1"/>
  <c r="I93" i="3" l="1"/>
  <c r="U93" i="3" s="1"/>
  <c r="V93" i="3"/>
  <c r="O93" i="3"/>
  <c r="P93" i="3" s="1"/>
  <c r="Q93" i="3"/>
  <c r="R93" i="3" s="1"/>
  <c r="K94" i="3" s="1"/>
  <c r="S93" i="3"/>
  <c r="T93" i="3" s="1"/>
  <c r="J94" i="3" l="1"/>
  <c r="Y93" i="3"/>
  <c r="W93" i="3" s="1"/>
  <c r="X93" i="3" s="1"/>
  <c r="L94" i="3"/>
  <c r="M94" i="3" l="1"/>
  <c r="G94" i="3" s="1"/>
  <c r="H94" i="3" s="1"/>
  <c r="V94" i="3" s="1"/>
  <c r="N94" i="3" l="1"/>
  <c r="O94" i="3" s="1"/>
  <c r="P94" i="3" s="1"/>
  <c r="J95" i="3" s="1"/>
  <c r="I94" i="3"/>
  <c r="U94" i="3" s="1"/>
  <c r="S94" i="3" l="1"/>
  <c r="T94" i="3" s="1"/>
  <c r="L95" i="3" s="1"/>
  <c r="Q94" i="3"/>
  <c r="R94" i="3" s="1"/>
  <c r="K95" i="3" s="1"/>
  <c r="Y94" i="3" l="1"/>
  <c r="W94" i="3" s="1"/>
  <c r="X94" i="3" s="1"/>
  <c r="M95" i="3"/>
  <c r="G95" i="3" s="1"/>
  <c r="H95" i="3" s="1"/>
  <c r="V95" i="3" s="1"/>
  <c r="N95" i="3" l="1"/>
  <c r="Q95" i="3" s="1"/>
  <c r="I95" i="3"/>
  <c r="U95" i="3" s="1"/>
  <c r="O95" i="3" l="1"/>
  <c r="P95" i="3" s="1"/>
  <c r="J96" i="3" s="1"/>
  <c r="S95" i="3"/>
  <c r="T95" i="3" s="1"/>
  <c r="R95" i="3"/>
  <c r="K96" i="3" s="1"/>
  <c r="Y95" i="3" l="1"/>
  <c r="W95" i="3" s="1"/>
  <c r="X95" i="3" s="1"/>
  <c r="L96" i="3"/>
  <c r="M96" i="3" s="1"/>
  <c r="G96" i="3" s="1"/>
  <c r="H96" i="3" s="1"/>
  <c r="I96" i="3" s="1"/>
  <c r="N96" i="3" l="1"/>
  <c r="Q96" i="3" s="1"/>
  <c r="R96" i="3" s="1"/>
  <c r="K97" i="3" s="1"/>
  <c r="V96" i="3"/>
  <c r="U96" i="3"/>
  <c r="O96" i="3" l="1"/>
  <c r="P96" i="3" s="1"/>
  <c r="J97" i="3" s="1"/>
  <c r="S96" i="3"/>
  <c r="T96" i="3" s="1"/>
  <c r="L97" i="3" s="1"/>
  <c r="Y96" i="3" l="1"/>
  <c r="W96" i="3" s="1"/>
  <c r="X96" i="3" s="1"/>
  <c r="M97" i="3"/>
  <c r="G97" i="3" s="1"/>
  <c r="H97" i="3" s="1"/>
  <c r="I97" i="3" l="1"/>
  <c r="U97" i="3" s="1"/>
  <c r="V97" i="3"/>
  <c r="N97" i="3"/>
  <c r="O97" i="3" l="1"/>
  <c r="P97" i="3" s="1"/>
  <c r="J98" i="3" s="1"/>
  <c r="S97" i="3"/>
  <c r="T97" i="3" s="1"/>
  <c r="Q97" i="3"/>
  <c r="R97" i="3" s="1"/>
  <c r="K98" i="3" l="1"/>
  <c r="Y97" i="3"/>
  <c r="W97" i="3" s="1"/>
  <c r="X97" i="3" s="1"/>
  <c r="L98" i="3"/>
  <c r="M98" i="3" l="1"/>
  <c r="G98" i="3" s="1"/>
  <c r="H98" i="3" s="1"/>
  <c r="N98" i="3" l="1"/>
  <c r="O98" i="3" s="1"/>
  <c r="V98" i="3"/>
  <c r="I98" i="3"/>
  <c r="U98" i="3" s="1"/>
  <c r="Q98" i="3" l="1"/>
  <c r="R98" i="3" s="1"/>
  <c r="K99" i="3" s="1"/>
  <c r="S98" i="3"/>
  <c r="T98" i="3" s="1"/>
  <c r="L99" i="3" s="1"/>
  <c r="P98" i="3"/>
  <c r="J99" i="3" s="1"/>
  <c r="Y98" i="3" l="1"/>
  <c r="W98" i="3" s="1"/>
  <c r="X98" i="3" s="1"/>
  <c r="M99" i="3"/>
  <c r="G99" i="3" s="1"/>
  <c r="H99" i="3" s="1"/>
  <c r="N99" i="3" l="1"/>
  <c r="Q99" i="3" s="1"/>
  <c r="V99" i="3"/>
  <c r="I99" i="3"/>
  <c r="U99" i="3" s="1"/>
  <c r="O99" i="3" l="1"/>
  <c r="P99" i="3" s="1"/>
  <c r="J100" i="3" s="1"/>
  <c r="S99" i="3"/>
  <c r="T99" i="3" s="1"/>
  <c r="L100" i="3" s="1"/>
  <c r="R99" i="3"/>
  <c r="K100" i="3" s="1"/>
  <c r="M100" i="3" l="1"/>
  <c r="G100" i="3" s="1"/>
  <c r="H100" i="3" s="1"/>
  <c r="N100" i="3" s="1"/>
  <c r="Y99" i="3"/>
  <c r="W99" i="3" s="1"/>
  <c r="X99" i="3" s="1"/>
  <c r="V100" i="3" l="1"/>
  <c r="I100" i="3"/>
  <c r="U100" i="3" s="1"/>
  <c r="O100" i="3"/>
  <c r="P100" i="3" s="1"/>
  <c r="J101" i="3" s="1"/>
  <c r="Q100" i="3"/>
  <c r="R100" i="3" s="1"/>
  <c r="K101" i="3" s="1"/>
  <c r="S100" i="3"/>
  <c r="T100" i="3" s="1"/>
  <c r="Y100" i="3" l="1"/>
  <c r="W100" i="3" s="1"/>
  <c r="X100" i="3" s="1"/>
  <c r="L101" i="3"/>
  <c r="M101" i="3" s="1"/>
  <c r="G101" i="3" s="1"/>
  <c r="H101" i="3" s="1"/>
  <c r="V101" i="3" l="1"/>
  <c r="I101" i="3"/>
  <c r="U101" i="3" s="1"/>
  <c r="N101" i="3"/>
  <c r="O101" i="3" l="1"/>
  <c r="P101" i="3" s="1"/>
  <c r="Q101" i="3"/>
  <c r="R101" i="3" s="1"/>
  <c r="K102" i="3" s="1"/>
  <c r="S101" i="3"/>
  <c r="T101" i="3" s="1"/>
  <c r="J102" i="3" l="1"/>
  <c r="Y101" i="3"/>
  <c r="W101" i="3" s="1"/>
  <c r="X101" i="3" s="1"/>
  <c r="L102" i="3"/>
  <c r="M102" i="3" l="1"/>
  <c r="G102" i="3" s="1"/>
  <c r="H102" i="3" s="1"/>
  <c r="N102" i="3" l="1"/>
  <c r="O102" i="3" s="1"/>
  <c r="V102" i="3"/>
  <c r="I102" i="3"/>
  <c r="U102" i="3" s="1"/>
  <c r="Q102" i="3" l="1"/>
  <c r="R102" i="3" s="1"/>
  <c r="K103" i="3" s="1"/>
  <c r="P102" i="3"/>
  <c r="J103" i="3" s="1"/>
  <c r="S102" i="3"/>
  <c r="T102" i="3" s="1"/>
  <c r="Y102" i="3" l="1"/>
  <c r="W102" i="3" s="1"/>
  <c r="X102" i="3" s="1"/>
  <c r="L103" i="3"/>
  <c r="M103" i="3" s="1"/>
  <c r="G103" i="3" s="1"/>
  <c r="H103" i="3" s="1"/>
  <c r="N103" i="3" l="1"/>
  <c r="O103" i="3" s="1"/>
  <c r="P103" i="3" s="1"/>
  <c r="V103" i="3"/>
  <c r="I103" i="3"/>
  <c r="U103" i="3" s="1"/>
  <c r="S103" i="3" l="1"/>
  <c r="T103" i="3" s="1"/>
  <c r="L104" i="3" s="1"/>
  <c r="Q103" i="3"/>
  <c r="R103" i="3" s="1"/>
  <c r="K104" i="3" s="1"/>
  <c r="J104" i="3"/>
  <c r="Y103" i="3" l="1"/>
  <c r="W103" i="3" s="1"/>
  <c r="X103" i="3" s="1"/>
  <c r="M104" i="3"/>
  <c r="G104" i="3" s="1"/>
  <c r="H104" i="3" s="1"/>
  <c r="I104" i="3" s="1"/>
  <c r="N104" i="3" l="1"/>
  <c r="V104" i="3"/>
  <c r="U104" i="3"/>
  <c r="O104" i="3" l="1"/>
  <c r="P104" i="3" s="1"/>
  <c r="J105" i="3" s="1"/>
  <c r="Q104" i="3"/>
  <c r="R104" i="3" s="1"/>
  <c r="S104" i="3"/>
  <c r="T104" i="3" s="1"/>
  <c r="L105" i="3" s="1"/>
  <c r="K105" i="3" l="1"/>
  <c r="M105" i="3" s="1"/>
  <c r="G105" i="3" s="1"/>
  <c r="H105" i="3" s="1"/>
  <c r="Y104" i="3"/>
  <c r="W104" i="3" s="1"/>
  <c r="X104" i="3" s="1"/>
  <c r="N105" i="3" l="1"/>
  <c r="S105" i="3" s="1"/>
  <c r="T105" i="3" s="1"/>
  <c r="V105" i="3"/>
  <c r="I105" i="3"/>
  <c r="U105" i="3" s="1"/>
  <c r="Q105" i="3" l="1"/>
  <c r="R105" i="3" s="1"/>
  <c r="K106" i="3" s="1"/>
  <c r="O105" i="3"/>
  <c r="P105" i="3" s="1"/>
  <c r="L106" i="3"/>
  <c r="J106" i="3" l="1"/>
  <c r="M106" i="3" s="1"/>
  <c r="G106" i="3" s="1"/>
  <c r="H106" i="3" s="1"/>
  <c r="I106" i="3" s="1"/>
  <c r="Y105" i="3"/>
  <c r="W105" i="3" s="1"/>
  <c r="X105" i="3" s="1"/>
  <c r="N106" i="3" l="1"/>
  <c r="Q106" i="3" s="1"/>
  <c r="R106" i="3" s="1"/>
  <c r="V106" i="3"/>
  <c r="U106" i="3"/>
  <c r="S106" i="3" l="1"/>
  <c r="T106" i="3" s="1"/>
  <c r="L107" i="3" s="1"/>
  <c r="O106" i="3"/>
  <c r="P106" i="3" s="1"/>
  <c r="J107" i="3" s="1"/>
  <c r="K107" i="3"/>
  <c r="Y106" i="3" l="1"/>
  <c r="W106" i="3" s="1"/>
  <c r="X106" i="3" s="1"/>
  <c r="M107" i="3"/>
  <c r="G107" i="3" s="1"/>
  <c r="H107" i="3" s="1"/>
  <c r="V107" i="3" s="1"/>
  <c r="N107" i="3" l="1"/>
  <c r="O107" i="3" s="1"/>
  <c r="I107" i="3"/>
  <c r="U107" i="3" s="1"/>
  <c r="Q107" i="3" l="1"/>
  <c r="R107" i="3" s="1"/>
  <c r="K108" i="3" s="1"/>
  <c r="P107" i="3"/>
  <c r="J108" i="3" s="1"/>
  <c r="S107" i="3"/>
  <c r="T107" i="3" s="1"/>
  <c r="L108" i="3" l="1"/>
  <c r="M108" i="3" s="1"/>
  <c r="G108" i="3" s="1"/>
  <c r="H108" i="3" s="1"/>
  <c r="Y107" i="3"/>
  <c r="W107" i="3" s="1"/>
  <c r="X107" i="3" s="1"/>
  <c r="N108" i="3" l="1"/>
  <c r="Q108" i="3" s="1"/>
  <c r="V108" i="3"/>
  <c r="I108" i="3"/>
  <c r="U108" i="3" s="1"/>
  <c r="O108" i="3" l="1"/>
  <c r="P108" i="3" s="1"/>
  <c r="J109" i="3" s="1"/>
  <c r="S108" i="3"/>
  <c r="T108" i="3" s="1"/>
  <c r="L109" i="3" s="1"/>
  <c r="R108" i="3"/>
  <c r="K109" i="3" s="1"/>
  <c r="Y108" i="3" l="1"/>
  <c r="W108" i="3" s="1"/>
  <c r="X108" i="3" s="1"/>
  <c r="M109" i="3"/>
  <c r="G109" i="3" s="1"/>
  <c r="H109" i="3" s="1"/>
  <c r="I109" i="3" s="1"/>
  <c r="V109" i="3" l="1"/>
  <c r="N109" i="3"/>
  <c r="Q109" i="3" s="1"/>
  <c r="U109" i="3"/>
  <c r="R109" i="3" l="1"/>
  <c r="K110" i="3" s="1"/>
  <c r="O109" i="3"/>
  <c r="P109" i="3" s="1"/>
  <c r="J110" i="3" s="1"/>
  <c r="S109" i="3"/>
  <c r="T109" i="3" s="1"/>
  <c r="Y109" i="3" l="1"/>
  <c r="W109" i="3" s="1"/>
  <c r="X109" i="3" s="1"/>
  <c r="L110" i="3"/>
  <c r="M110" i="3" s="1"/>
  <c r="G110" i="3" s="1"/>
  <c r="H110" i="3" s="1"/>
  <c r="I110" i="3" s="1"/>
  <c r="U110" i="3" s="1"/>
  <c r="N110" i="3" l="1"/>
  <c r="O110" i="3" s="1"/>
  <c r="P110" i="3" s="1"/>
  <c r="J111" i="3" s="1"/>
  <c r="V110" i="3"/>
  <c r="S110" i="3" l="1"/>
  <c r="T110" i="3" s="1"/>
  <c r="L111" i="3" s="1"/>
  <c r="Q110" i="3"/>
  <c r="R110" i="3" s="1"/>
  <c r="K111" i="3" s="1"/>
  <c r="Y110" i="3" l="1"/>
  <c r="W110" i="3" s="1"/>
  <c r="X110" i="3" s="1"/>
  <c r="M111" i="3"/>
  <c r="G111" i="3" s="1"/>
  <c r="H111" i="3" s="1"/>
  <c r="V111" i="3" s="1"/>
  <c r="N111" i="3" l="1"/>
  <c r="O111" i="3" s="1"/>
  <c r="I111" i="3"/>
  <c r="U111" i="3" s="1"/>
  <c r="S111" i="3" l="1"/>
  <c r="T111" i="3" s="1"/>
  <c r="L112" i="3" s="1"/>
  <c r="P111" i="3"/>
  <c r="J112" i="3" s="1"/>
  <c r="Q111" i="3"/>
  <c r="R111" i="3" s="1"/>
  <c r="K112" i="3" s="1"/>
  <c r="Y111" i="3" l="1"/>
  <c r="W111" i="3" s="1"/>
  <c r="X111" i="3" s="1"/>
  <c r="M112" i="3"/>
  <c r="G112" i="3" s="1"/>
  <c r="H112" i="3" s="1"/>
  <c r="I112" i="3" s="1"/>
  <c r="N112" i="3" l="1"/>
  <c r="Q112" i="3" s="1"/>
  <c r="R112" i="3" s="1"/>
  <c r="K113" i="3" s="1"/>
  <c r="V112" i="3"/>
  <c r="U112" i="3"/>
  <c r="S112" i="3" l="1"/>
  <c r="T112" i="3" s="1"/>
  <c r="L113" i="3" s="1"/>
  <c r="O112" i="3"/>
  <c r="P112" i="3" s="1"/>
  <c r="J113" i="3" s="1"/>
  <c r="Y112" i="3" l="1"/>
  <c r="W112" i="3" s="1"/>
  <c r="X112" i="3" s="1"/>
  <c r="M113" i="3"/>
  <c r="G113" i="3" s="1"/>
  <c r="H113" i="3" s="1"/>
  <c r="V113" i="3" s="1"/>
  <c r="N113" i="3" l="1"/>
  <c r="Q113" i="3" s="1"/>
  <c r="R113" i="3" s="1"/>
  <c r="K114" i="3" s="1"/>
  <c r="I113" i="3"/>
  <c r="U113" i="3" s="1"/>
  <c r="O113" i="3" l="1"/>
  <c r="P113" i="3" s="1"/>
  <c r="J114" i="3" s="1"/>
  <c r="S113" i="3"/>
  <c r="T113" i="3" s="1"/>
  <c r="Y113" i="3" l="1"/>
  <c r="W113" i="3" s="1"/>
  <c r="X113" i="3" s="1"/>
  <c r="L114" i="3"/>
  <c r="M114" i="3" s="1"/>
  <c r="G114" i="3" s="1"/>
  <c r="H114" i="3" s="1"/>
  <c r="I114" i="3" l="1"/>
  <c r="U114" i="3" s="1"/>
  <c r="V114" i="3"/>
  <c r="N114" i="3"/>
  <c r="O114" i="3" l="1"/>
  <c r="P114" i="3" s="1"/>
  <c r="J115" i="3" s="1"/>
  <c r="Q114" i="3"/>
  <c r="R114" i="3" s="1"/>
  <c r="S114" i="3"/>
  <c r="T114" i="3" s="1"/>
  <c r="K115" i="3" l="1"/>
  <c r="Y114" i="3"/>
  <c r="W114" i="3" s="1"/>
  <c r="X114" i="3" s="1"/>
  <c r="L115" i="3"/>
  <c r="M115" i="3" l="1"/>
  <c r="G115" i="3" s="1"/>
  <c r="H115" i="3" s="1"/>
  <c r="N115" i="3" l="1"/>
  <c r="O115" i="3" s="1"/>
  <c r="P115" i="3" s="1"/>
  <c r="I115" i="3"/>
  <c r="U115" i="3" s="1"/>
  <c r="V115" i="3"/>
  <c r="S115" i="3" l="1"/>
  <c r="T115" i="3" s="1"/>
  <c r="Q115" i="3"/>
  <c r="R115" i="3" s="1"/>
  <c r="K116" i="3" s="1"/>
  <c r="J116" i="3"/>
  <c r="Y115" i="3" l="1"/>
  <c r="W115" i="3" s="1"/>
  <c r="X115" i="3" s="1"/>
  <c r="L116" i="3"/>
  <c r="M116" i="3" s="1"/>
  <c r="G116" i="3" s="1"/>
  <c r="H116" i="3" s="1"/>
  <c r="V116" i="3" l="1"/>
  <c r="I116" i="3"/>
  <c r="U116" i="3" s="1"/>
  <c r="N116" i="3"/>
  <c r="S116" i="3" l="1"/>
  <c r="T116" i="3" s="1"/>
  <c r="O116" i="3"/>
  <c r="P116" i="3" s="1"/>
  <c r="J117" i="3" s="1"/>
  <c r="Q116" i="3"/>
  <c r="R116" i="3" s="1"/>
  <c r="K117" i="3" s="1"/>
  <c r="Y116" i="3" l="1"/>
  <c r="W116" i="3" s="1"/>
  <c r="X116" i="3" s="1"/>
  <c r="L117" i="3"/>
  <c r="M117" i="3" s="1"/>
  <c r="G117" i="3" s="1"/>
  <c r="H117" i="3" s="1"/>
  <c r="I117" i="3" l="1"/>
  <c r="U117" i="3" s="1"/>
  <c r="V117" i="3"/>
  <c r="N117" i="3"/>
  <c r="O117" i="3" l="1"/>
  <c r="P117" i="3" s="1"/>
  <c r="J118" i="3" s="1"/>
  <c r="Q117" i="3"/>
  <c r="R117" i="3" s="1"/>
  <c r="K118" i="3" s="1"/>
  <c r="S117" i="3"/>
  <c r="T117" i="3" s="1"/>
  <c r="Y117" i="3" l="1"/>
  <c r="W117" i="3" s="1"/>
  <c r="X117" i="3" s="1"/>
  <c r="L118" i="3"/>
  <c r="M118" i="3" s="1"/>
  <c r="G118" i="3" s="1"/>
  <c r="H118" i="3" s="1"/>
  <c r="I118" i="3" l="1"/>
  <c r="U118" i="3" s="1"/>
  <c r="V118" i="3"/>
  <c r="N118" i="3"/>
  <c r="O118" i="3" l="1"/>
  <c r="P118" i="3" s="1"/>
  <c r="J119" i="3" s="1"/>
  <c r="Q118" i="3"/>
  <c r="R118" i="3" s="1"/>
  <c r="K119" i="3" s="1"/>
  <c r="S118" i="3"/>
  <c r="T118" i="3" s="1"/>
  <c r="Y118" i="3" l="1"/>
  <c r="W118" i="3" s="1"/>
  <c r="X118" i="3" s="1"/>
  <c r="L119" i="3"/>
  <c r="M119" i="3" s="1"/>
  <c r="G119" i="3" s="1"/>
  <c r="H119" i="3" s="1"/>
  <c r="M1" i="3" l="1"/>
  <c r="M2" i="3"/>
  <c r="V119" i="3"/>
  <c r="I119" i="3"/>
  <c r="U119" i="3" s="1"/>
  <c r="N119" i="3"/>
  <c r="S119" i="3" l="1"/>
  <c r="T119" i="3" s="1"/>
  <c r="O119" i="3"/>
  <c r="P119" i="3" s="1"/>
  <c r="Q119" i="3"/>
  <c r="R119" i="3" s="1"/>
  <c r="Y119" i="3" l="1"/>
  <c r="W119" i="3" s="1"/>
  <c r="X119" i="3" l="1"/>
  <c r="M5" i="3" s="1"/>
  <c r="N5" i="3" s="1"/>
  <c r="K1" i="3"/>
  <c r="M3" i="3" l="1"/>
  <c r="N3" i="3" s="1"/>
  <c r="M4" i="3"/>
  <c r="N4" i="3" s="1"/>
  <c r="K2" i="3"/>
  <c r="F23" i="4" l="1"/>
  <c r="B23" i="4"/>
  <c r="I23" i="4"/>
  <c r="C23" i="4"/>
  <c r="D23" i="4"/>
  <c r="G23" i="4"/>
  <c r="H23" i="4"/>
  <c r="E23" i="4"/>
  <c r="G18" i="4"/>
  <c r="D9" i="4"/>
  <c r="H4" i="4"/>
  <c r="D20" i="4"/>
  <c r="B17" i="4"/>
  <c r="F17" i="4"/>
  <c r="H10" i="4"/>
  <c r="C19" i="4"/>
  <c r="F18" i="4"/>
  <c r="I16" i="4"/>
  <c r="F8" i="4"/>
  <c r="E19" i="4"/>
  <c r="F16" i="4"/>
  <c r="H8" i="4"/>
  <c r="H21" i="4"/>
  <c r="F10" i="4"/>
  <c r="G10" i="4"/>
  <c r="B9" i="4"/>
  <c r="D7" i="4"/>
  <c r="F11" i="4"/>
  <c r="G14" i="4"/>
  <c r="I22" i="4"/>
  <c r="D13" i="4"/>
  <c r="E13" i="4"/>
  <c r="F4" i="4"/>
  <c r="H14" i="4"/>
  <c r="C9" i="4"/>
  <c r="E17" i="4"/>
  <c r="H5" i="4"/>
  <c r="H12" i="4"/>
  <c r="G4" i="4"/>
  <c r="D4" i="4"/>
  <c r="C16" i="4"/>
  <c r="F22" i="4"/>
  <c r="C7" i="4"/>
  <c r="C21" i="4"/>
  <c r="C15" i="4"/>
  <c r="D6" i="4"/>
  <c r="E20" i="4"/>
  <c r="F13" i="4"/>
  <c r="F15" i="4"/>
  <c r="G17" i="4"/>
  <c r="E11" i="4"/>
  <c r="I15" i="4"/>
  <c r="I6" i="4"/>
  <c r="H13" i="4"/>
  <c r="C17" i="4"/>
  <c r="E12" i="4"/>
  <c r="F5" i="4"/>
  <c r="I17" i="4"/>
  <c r="H17" i="4"/>
  <c r="E5" i="4"/>
  <c r="F9" i="4"/>
  <c r="G8" i="4"/>
  <c r="E9" i="4"/>
  <c r="D22" i="4"/>
  <c r="B8" i="4"/>
  <c r="C13" i="4"/>
  <c r="C14" i="4"/>
  <c r="D16" i="4"/>
  <c r="B19" i="4"/>
  <c r="C4" i="4"/>
  <c r="D11" i="4"/>
  <c r="I18" i="4"/>
  <c r="C18" i="4"/>
  <c r="B13" i="4"/>
  <c r="I5" i="4"/>
  <c r="G13" i="4"/>
  <c r="D5" i="4"/>
  <c r="B14" i="4"/>
  <c r="D8" i="4"/>
  <c r="E6" i="4"/>
  <c r="E15" i="4"/>
  <c r="D14" i="4"/>
  <c r="G11" i="4"/>
  <c r="H20" i="4"/>
  <c r="C12" i="4"/>
  <c r="H9" i="4"/>
  <c r="C8" i="4"/>
  <c r="G5" i="4"/>
  <c r="E4" i="4"/>
  <c r="B22" i="4"/>
  <c r="C11" i="4"/>
  <c r="D17" i="4"/>
  <c r="H22" i="4"/>
  <c r="I7" i="4"/>
  <c r="D19" i="4"/>
  <c r="D10" i="4"/>
  <c r="F12" i="4"/>
  <c r="B11" i="4"/>
  <c r="E8" i="4"/>
  <c r="F20" i="4"/>
  <c r="H18" i="4"/>
  <c r="B10" i="4"/>
  <c r="H19" i="4"/>
  <c r="D18" i="4"/>
  <c r="B4" i="4"/>
  <c r="G12" i="4"/>
  <c r="B7" i="4"/>
  <c r="B18" i="4"/>
  <c r="H16" i="4"/>
  <c r="G20" i="4"/>
  <c r="H15" i="4"/>
  <c r="G19" i="4"/>
  <c r="G9" i="4"/>
  <c r="I4" i="4"/>
  <c r="G22" i="4"/>
  <c r="E10" i="4"/>
  <c r="G6" i="4"/>
  <c r="I14" i="4"/>
  <c r="B16" i="4"/>
  <c r="I11" i="4"/>
  <c r="I8" i="4"/>
  <c r="C10" i="4"/>
  <c r="I13" i="4"/>
  <c r="E16" i="4"/>
  <c r="D15" i="4"/>
  <c r="H7" i="4"/>
  <c r="I9" i="4"/>
  <c r="C6" i="4"/>
  <c r="B6" i="4"/>
  <c r="D21" i="4"/>
  <c r="G21" i="4"/>
  <c r="C5" i="4"/>
  <c r="I20" i="4"/>
  <c r="C20" i="4"/>
  <c r="I21" i="4"/>
  <c r="G15" i="4"/>
  <c r="G16" i="4"/>
  <c r="F21" i="4"/>
  <c r="F19" i="4"/>
  <c r="F7" i="4"/>
  <c r="B20" i="4"/>
  <c r="B5" i="4"/>
  <c r="E21" i="4"/>
  <c r="F6" i="4"/>
  <c r="F14" i="4"/>
  <c r="I10" i="4"/>
  <c r="I12" i="4"/>
  <c r="C22" i="4"/>
  <c r="G7" i="4"/>
  <c r="H6" i="4"/>
  <c r="B15" i="4"/>
  <c r="D12" i="4"/>
  <c r="E14" i="4"/>
  <c r="H11" i="4"/>
  <c r="B12" i="4"/>
  <c r="E7" i="4"/>
  <c r="E18" i="4"/>
  <c r="I19" i="4"/>
  <c r="B21" i="4"/>
  <c r="E22" i="4"/>
</calcChain>
</file>

<file path=xl/sharedStrings.xml><?xml version="1.0" encoding="utf-8"?>
<sst xmlns="http://schemas.openxmlformats.org/spreadsheetml/2006/main" count="417" uniqueCount="273">
  <si>
    <t>1.</t>
  </si>
  <si>
    <t>Ввести заголовок в ячейку В1</t>
  </si>
  <si>
    <t xml:space="preserve">Табличная модель системы массового обслуживания с 3 серверами и ограничением времени ожидания </t>
  </si>
  <si>
    <t>2.</t>
  </si>
  <si>
    <t>Ввести табличку начальных данных в ячейки А2..F3</t>
  </si>
  <si>
    <t>Начало</t>
  </si>
  <si>
    <t>Конец</t>
  </si>
  <si>
    <t>Уйти если ожидание больше</t>
  </si>
  <si>
    <t>мин</t>
  </si>
  <si>
    <t>start</t>
  </si>
  <si>
    <t>closed</t>
  </si>
  <si>
    <t>renegat</t>
  </si>
  <si>
    <t>используемые аббревиатуры:</t>
  </si>
  <si>
    <t>ST</t>
  </si>
  <si>
    <t>время обслуживания</t>
  </si>
  <si>
    <t>IAT</t>
  </si>
  <si>
    <t>время между прибытиями</t>
  </si>
  <si>
    <t>3.</t>
  </si>
  <si>
    <t>Ввести табличку значений в ячейки  A6…D12. Задать диапазону B9:D12 имя IAT.</t>
  </si>
  <si>
    <t>вероят ность</t>
  </si>
  <si>
    <t>нижняя</t>
  </si>
  <si>
    <t>верхняя</t>
  </si>
  <si>
    <t>интервал</t>
  </si>
  <si>
    <t>граница</t>
  </si>
  <si>
    <t>прихода</t>
  </si>
  <si>
    <t>(мин)</t>
  </si>
  <si>
    <t>4.</t>
  </si>
  <si>
    <t>Ввести табличку значений в ячейки  F6…I11. Задать диапазону G9:I11 имя ST.</t>
  </si>
  <si>
    <t>сервиса</t>
  </si>
  <si>
    <t>5.</t>
  </si>
  <si>
    <t>Ввести заголовок таблицы с ячейки А14</t>
  </si>
  <si>
    <t>время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</si>
  <si>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</si>
  <si>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</si>
  <si>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</si>
  <si>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</si>
  <si>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</si>
  <si>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</si>
  <si>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</si>
  <si>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итог.</t>
  </si>
  <si>
    <t>длина</t>
  </si>
  <si>
    <t>клиент</t>
  </si>
  <si>
    <t>луживания</t>
  </si>
  <si>
    <t>времени</t>
  </si>
  <si>
    <t>отка--</t>
  </si>
  <si>
    <t>ухода из</t>
  </si>
  <si>
    <t>начала обс-</t>
  </si>
  <si>
    <t>номер</t>
  </si>
  <si>
    <t>сервер 1 факт</t>
  </si>
  <si>
    <t>сервер 2 факт</t>
  </si>
  <si>
    <t>сервер 3 факт</t>
  </si>
  <si>
    <t>время в</t>
  </si>
  <si>
    <t>длит-ть</t>
  </si>
  <si>
    <t>обслуж-</t>
  </si>
  <si>
    <t>очереди</t>
  </si>
  <si>
    <t>№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</si>
  <si>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</si>
  <si>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</si>
  <si>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</si>
  <si>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</si>
  <si>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</si>
  <si>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</si>
  <si>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</si>
  <si>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</si>
  <si>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</si>
  <si>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</si>
  <si>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</si>
  <si>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</si>
  <si>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</si>
  <si>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</si>
  <si>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</si>
  <si>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</si>
  <si>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отказ)</t>
  </si>
  <si>
    <t>обслуж.</t>
  </si>
  <si>
    <t>6.</t>
  </si>
  <si>
    <t>В ячейку А20 ввести формулу начала функции счетчика</t>
  </si>
  <si>
    <t>.=ЕСЛИ(ЕТЕКСТ(F20);"закрыто";1)</t>
  </si>
  <si>
    <t>8.</t>
  </si>
  <si>
    <t>.=ЕСЛИ(ЕТЕКСТ(F21);"закрыто";A20+1)</t>
  </si>
  <si>
    <t>9.</t>
  </si>
  <si>
    <t>.=ВПР(СЛЧИС();IAT;3)</t>
  </si>
  <si>
    <t>10.</t>
  </si>
  <si>
    <t>.=B20/1440</t>
  </si>
  <si>
    <t>11.</t>
  </si>
  <si>
    <t>.=ВПР(СЛЧИС();ST;3)</t>
  </si>
  <si>
    <t>12.</t>
  </si>
  <si>
    <t>.=D20/1440</t>
  </si>
  <si>
    <t>13.</t>
  </si>
  <si>
    <t>В ячейки F19, P19, R19, T19  ввести</t>
  </si>
  <si>
    <t>.=start</t>
  </si>
  <si>
    <t>14.</t>
  </si>
  <si>
    <t>.=ЕСЛИ(ЕТЕКСТ(F19);"";ЕСЛИ(F19+ C20&gt;=closed;"закрыто";F19+C20))</t>
  </si>
  <si>
    <t>15.</t>
  </si>
  <si>
    <t>.=ЕСЛИ(ЕТЕКСТ(F20);"";M20-F20)</t>
  </si>
  <si>
    <t>16.</t>
  </si>
  <si>
    <t>17.</t>
  </si>
  <si>
    <t>.=ЕСЛИ(H20="ушел";F20+(renegat/1440);"")</t>
  </si>
  <si>
    <t>18.</t>
  </si>
  <si>
    <t>В ячейку J20  ввести формулу</t>
  </si>
  <si>
    <t>.=МАКС(P19;$F20)</t>
  </si>
  <si>
    <t>19.</t>
  </si>
  <si>
    <t>.=ЕСЛИ(ЕТЕКСТ($F21);"";МАКС($P$19:P20;$F21))</t>
  </si>
  <si>
    <t>20.</t>
  </si>
  <si>
    <t>В ячейку K20  ввести формулу</t>
  </si>
  <si>
    <t>.=МАКС(R19;$F20)</t>
  </si>
  <si>
    <t>.=ЕСЛИ(ЕТЕКСТ($F21);"";МАКС($R$19:R20;$F21))</t>
  </si>
  <si>
    <t>В ячейку L20  ввести формулу</t>
  </si>
  <si>
    <t>.=МАКС(T19;$F20)</t>
  </si>
  <si>
    <t>.=ЕСЛИ(ЕТЕКСТ($F21);"";МАКС(T19:T20;$F21))</t>
  </si>
  <si>
    <t>.=ЕСЛИ(ЕТЕКСТ(F20);"";МИН(J20:L20))</t>
  </si>
  <si>
    <t>.=ЕСЛИ(ИЛИ(ЕТЕКСТ(F20);H20="ушел");"";ПОИСКПОЗ(M20;J20:L20;0))</t>
  </si>
  <si>
    <t>.=ЕСЛИ($N20=1;M20;"")</t>
  </si>
  <si>
    <t>.=ЕСЛИ($N20=1;O20+$E20;P19)</t>
  </si>
  <si>
    <t>.=ЕСЛИ($N20=2;M20;"")</t>
  </si>
  <si>
    <t>.=ЕСЛИ($N20=2;Q20+$E20;R19)</t>
  </si>
  <si>
    <t>.=ЕСЛИ($N20=3;M20;"")</t>
  </si>
  <si>
    <t>.=ЕСЛИ($N20=3;S20+$E20;T19)</t>
  </si>
  <si>
    <t>рассчитать "среднее время пребывания в системе"</t>
  </si>
  <si>
    <t>изменения в модели наблюдать по нажатии на клавишу F9 (c пересчетом формул с новыми случайными числами)</t>
  </si>
  <si>
    <t>изменить какие-либо значения в наборах IAT и ST и повторить моделирование</t>
  </si>
  <si>
    <t>.=СЧЁТЕСЛИ($M$19:$M19;"&gt;"&amp;$F20)</t>
  </si>
  <si>
    <t>.=ЕСЛИ(H20="ушел";I20-F20;G20)</t>
  </si>
  <si>
    <t>сервере</t>
  </si>
  <si>
    <t>.=ЕСЛИ(ИЛИ(H20="ушел";A20="закрыто");0;E20)</t>
  </si>
  <si>
    <t>.=ЕСЛИОШИБКА(Y20-F20;"")</t>
  </si>
  <si>
    <t>.=ЕСЛИОШИБКА(ЕСЛИ(H20="ушел";W20;$E20+G20);"")</t>
  </si>
  <si>
    <t>.=ЕСЛИОШИБКА(ЕСЛИ(H20="ушел";I20;ВЫБОР(N20;P20;R20;T20));"")</t>
  </si>
  <si>
    <t>В ячейки В20:В59 ввести формулу  выборки значения из диапазона IAT</t>
  </si>
  <si>
    <t>В ячейки D20:D59 ввести формулу  выборки значения из диапазона ST</t>
  </si>
  <si>
    <t>В ячейку F20  ввести формулу  и скопировать ее в ячейки F21:F59</t>
  </si>
  <si>
    <t>В ячейку G20  ввести формулу  и скопировать ее в ячейки G21:G59</t>
  </si>
  <si>
    <t>В ячейку I20  ввести формулу  и скопировать ее в ячейки I21:I59</t>
  </si>
  <si>
    <t>В ячейку J21  ввести формулу  и скопировать ее в ячейки J22:J59</t>
  </si>
  <si>
    <t>В ячейку K21  ввести формулу  и скопировать ее в ячейки K22:K59</t>
  </si>
  <si>
    <t>В ячейку L21  ввести формулу  и скопировать ее в ячейки L22:L59</t>
  </si>
  <si>
    <t>В ячейку M20  ввести формулу  и скопировать ее в ячейки M21:M59</t>
  </si>
  <si>
    <t>В ячейку N20  ввести формулу  и скопировать ее в ячейки N21:N59</t>
  </si>
  <si>
    <t>В ячейку O20  ввести формулу  и скопировать ее в ячейки O21:O59</t>
  </si>
  <si>
    <t>В ячейку P20  ввести формулу  и скопировать ее в ячейки P21:P59</t>
  </si>
  <si>
    <t>В ячейку Q20  ввести формулу  и скопировать ее в ячейки Q21:Q59</t>
  </si>
  <si>
    <t>В ячейку R20  ввести формулу  и скопировать ее в ячейки R21:R59</t>
  </si>
  <si>
    <t>В ячейку S20  ввести формулу  и скопировать ее в ячейки S21:S59</t>
  </si>
  <si>
    <t>В ячейку T20  ввести формулу  и скопировать ее в ячейки T21:T59</t>
  </si>
  <si>
    <t>В ячейку U20  ввести формулу  и скопировать ее в ячейки U21:U59</t>
  </si>
  <si>
    <t>В ячейку V20  ввести формулу  и скопировать ее в ячейки V21:V59</t>
  </si>
  <si>
    <t>В ячейку W20  ввести формулу  и скопировать ее в ячейки W21:W59</t>
  </si>
  <si>
    <t>В ячейку X20  ввести формулу  и скопировать ее в ячейки X21:X59</t>
  </si>
  <si>
    <t>В ячейку Y20  ввести формулу  и скопировать ее в ячейки Y21:Y59</t>
  </si>
  <si>
    <t>В ячейку Z20  ввести формулу  и скопировать ее в ячейки Z21:Z59</t>
  </si>
  <si>
    <t>рассчитать "среднее время обслуживания"</t>
  </si>
  <si>
    <t>в Х61</t>
  </si>
  <si>
    <t>в Х62</t>
  </si>
  <si>
    <t>.=СУММ(W20:W59)/МАКС(A20:A59)</t>
  </si>
  <si>
    <t>.=СУММЕСЛИ(N20:N59;"&gt;0";X20:X59)/МАКС(A20:A59)</t>
  </si>
  <si>
    <t>рассчитать "коэффициенты полезной загрузки сервера" для 3 серверов</t>
  </si>
  <si>
    <t>рассчитать "долю (%) потерянных клиентов"</t>
  </si>
  <si>
    <t>в Н62</t>
  </si>
  <si>
    <t>.=СЧЁТЕСЛИ(H20:H59;"ушел")/МАКС(A20:A59)</t>
  </si>
  <si>
    <t>в Т61, Т62, Т63</t>
  </si>
  <si>
    <t>SST</t>
  </si>
  <si>
    <t>время начала обслуживания</t>
  </si>
  <si>
    <t>TIQ</t>
  </si>
  <si>
    <t>время ожидания в очереди</t>
  </si>
  <si>
    <t>TIS</t>
  </si>
  <si>
    <t>время пребывания в системе</t>
  </si>
  <si>
    <t xml:space="preserve"> &lt;--- задайте эти имена подкрашенным зеленым ячейкам</t>
  </si>
  <si>
    <t>Формат данных в ячейках start, closed -</t>
  </si>
  <si>
    <t>ч:мм</t>
  </si>
  <si>
    <t xml:space="preserve"> - модуль значений меньше 0</t>
  </si>
  <si>
    <t>В столбце А укажем номера моделируемых клиентов с 1 до 40 (но с учетом времени работы системы!)</t>
  </si>
  <si>
    <t>В ячейку А21 ввести формулу функции счетчика с учетом завершения и скопировать ее до ячейки А59</t>
  </si>
  <si>
    <t>В ячейку С20  ввести формулу  перевода в минуты и скопировать ее в ячейки С21:С59</t>
  </si>
  <si>
    <t>В ячейку E20  ввести формулу  перевода в минуты и скопировать ее в ячейки E21:E59</t>
  </si>
  <si>
    <t>(например IAT 2-3-4-7 и ST 4-6-10)</t>
  </si>
  <si>
    <t>добавить круговые диаграммы загрузки серверов (по значениям Т61, Т62, Т63)</t>
  </si>
  <si>
    <t>рассчитать максимальную длину очереди (по Z)</t>
  </si>
  <si>
    <t>в Z62</t>
  </si>
  <si>
    <t xml:space="preserve"> в колонках A и F (для значения "закрыто"), H (для значения "ушел"), N (градиент по номерам серверов)</t>
  </si>
  <si>
    <t>для наглядности установить условное форматирование цвета шрифта и фона для ячеек</t>
  </si>
  <si>
    <t>7.</t>
  </si>
  <si>
    <t>В ячейку H20  ввести формулу  и скопировать ее в ячейки H21:H59</t>
  </si>
  <si>
    <t>.=ЕСЛИ(ЕТЕКСТ(F20);""; ЕСЛИ(G20&gt;(renegat/1440);"ушел";""))</t>
  </si>
  <si>
    <t>добавить линейную диаграмму времен пребывания клиентов в системе (по W)</t>
  </si>
  <si>
    <t>добавить частотную гистограмму времен пребывания клиентов в системе (по W с доп.расчетом)</t>
  </si>
  <si>
    <t>добавить точечный график для диаграммы занятости операторов (по колонкам M, N и Y)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</si>
  <si>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</si>
  <si>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</si>
  <si>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</si>
  <si>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</si>
  <si>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</si>
  <si>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</si>
  <si>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</si>
  <si>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</si>
  <si>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</si>
  <si>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</si>
  <si>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</si>
  <si>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</si>
  <si>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</si>
  <si>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</si>
  <si>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</si>
  <si>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</si>
  <si>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</si>
  <si>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</si>
  <si>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</si>
  <si>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Уйти если ожидание больше (мин)</t>
  </si>
  <si>
    <t>Среднее время пребывания в системе</t>
  </si>
  <si>
    <t>Среднее время обслуживания</t>
  </si>
  <si>
    <t>Доля потерянных клиентов</t>
  </si>
  <si>
    <t>Количество потерянных клиентов</t>
  </si>
  <si>
    <t>Макисмальная длина очереди</t>
  </si>
  <si>
    <t>Количество заявок к 1</t>
  </si>
  <si>
    <t>Количество заявок к 2</t>
  </si>
  <si>
    <t>Количество заявок к 3</t>
  </si>
  <si>
    <t>Клиент №</t>
  </si>
  <si>
    <t>Время прихода клиента (мин)</t>
  </si>
  <si>
    <t>Интервал между клиентами</t>
  </si>
  <si>
    <t>Время обслуживания на сервере (мин)</t>
  </si>
  <si>
    <t>Интервал обслуживания</t>
  </si>
  <si>
    <t>Момент времени прихода (ч:мин)</t>
  </si>
  <si>
    <t>Прогноз времени ожидания (ч:мин)</t>
  </si>
  <si>
    <t>Отказался ждать</t>
  </si>
  <si>
    <t>Время ухода из очереди (ч:мин)</t>
  </si>
  <si>
    <t>Фактическое время начала (ч:мин)</t>
  </si>
  <si>
    <t>Номер сервера</t>
  </si>
  <si>
    <t>Сервер 1 факт</t>
  </si>
  <si>
    <t>Начало (ч:мин)</t>
  </si>
  <si>
    <t>Конец (ч:мин)</t>
  </si>
  <si>
    <t>Сервер 2 факт</t>
  </si>
  <si>
    <t>Сервер 3 факт</t>
  </si>
  <si>
    <t>Время в очереди (ч:мин)</t>
  </si>
  <si>
    <t>Время в сервере (ч:мин)</t>
  </si>
  <si>
    <t>Длительность пребыв (ч:мин)</t>
  </si>
  <si>
    <t>Время обслуживания (с отказ)</t>
  </si>
  <si>
    <t>Итоговое время ухода</t>
  </si>
  <si>
    <t>Длина очереди к началу обслуживания</t>
  </si>
  <si>
    <r>
      <rPr>
        <b/>
        <sz val="12"/>
        <rFont val="Calibri"/>
        <family val="2"/>
        <charset val="204"/>
        <scheme val="minor"/>
      </rPr>
      <t>Прогноз 1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</si>
  <si>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r>
      <rPr>
        <b/>
        <sz val="12"/>
        <rFont val="Calibri"/>
        <family val="2"/>
        <charset val="204"/>
        <scheme val="minor"/>
      </rPr>
      <t>Прогноз 2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</si>
  <si>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r>
      <rPr>
        <b/>
        <sz val="12"/>
        <rFont val="Calibri"/>
        <family val="2"/>
        <charset val="204"/>
        <scheme val="minor"/>
      </rPr>
      <t>Прогноз 3</t>
    </r>
    <r>
      <rPr>
        <sz val="12"/>
        <rFont val="Calibri"/>
        <family val="2"/>
        <charset val="204"/>
        <scheme val="minor"/>
      </rPr>
      <t xml:space="preserve"> Начала обслуживания (ч:мин)</t>
    </r>
  </si>
  <si>
    <t>Вероятность</t>
  </si>
  <si>
    <t>Нижняя граница</t>
  </si>
  <si>
    <t>Верхняя граница</t>
  </si>
  <si>
    <t>Интервал прихода (мин)</t>
  </si>
  <si>
    <t>Интервал сервиса (мин)</t>
  </si>
  <si>
    <t>Эксперимент1 по модели с 3 серверами и 1 очередью (100)</t>
  </si>
  <si>
    <t>Счетчик прогонов:</t>
  </si>
  <si>
    <t>№ эксперимента</t>
  </si>
  <si>
    <t>Количество потерянных заявок на обслуживание</t>
  </si>
  <si>
    <t>Коэффициент полезной загрузки сервера 1</t>
  </si>
  <si>
    <t>Коэффициент полезной загрузки сервера 2</t>
  </si>
  <si>
    <t>Коэффициент полезной загрузки сервера 3</t>
  </si>
  <si>
    <t>Максимальный размер очереди</t>
  </si>
  <si>
    <t>Длительность обслуживания клиентов</t>
  </si>
  <si>
    <t>Итог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</si>
  <si>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</si>
  <si>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</si>
  <si>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</si>
  <si>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</si>
  <si>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</si>
  <si>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</si>
  <si>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</si>
  <si>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</si>
  <si>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</si>
  <si>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</si>
  <si>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</si>
  <si>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</si>
  <si>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</si>
  <si>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Среднее время пребывания</t>
  </si>
  <si>
    <t>Наибольший(2)</t>
  </si>
  <si>
    <t>Наименьший(2)</t>
  </si>
  <si>
    <t>Карман</t>
  </si>
  <si>
    <t>Еще</t>
  </si>
  <si>
    <t>Частота</t>
  </si>
  <si>
    <t>&gt;10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</si>
</sst>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i/>
      <sz val="11"/>
      <color theme="6" tint="-0.249977111117893"/>
      <name val="Calibri"/>
      <family val="2"/>
      <charset val="204"/>
      <scheme val="minor"/>
    </font>
    <font>
      <sz val="10"/>
      <name val="Arial"/>
      <family val="2"/>
    </font>
    <font>
      <sz val="11"/>
      <name val="Calibri"/>
      <family val="2"/>
      <charset val="204"/>
      <scheme val="minor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  <charset val="204"/>
    </font>
    <font>
      <b/>
      <sz val="9"/>
      <color theme="3" tint="-0.249977111117893"/>
      <name val="Arial"/>
      <family val="2"/>
    </font>
    <font>
      <sz val="9"/>
      <color theme="3" tint="-0.249977111117893"/>
      <name val="Arial"/>
      <family val="2"/>
    </font>
    <font>
      <sz val="11"/>
      <color rgb="FFC00000"/>
      <name val="Calibri"/>
      <family val="2"/>
      <charset val="204"/>
      <scheme val="minor"/>
    </font>
    <font>
      <b/>
      <sz val="9"/>
      <color rgb="FFC00000"/>
      <name val="Arial"/>
      <family val="2"/>
    </font>
    <font>
      <sz val="9"/>
      <color rgb="FFC00000"/>
      <name val="Arial"/>
      <family val="2"/>
      <charset val="204"/>
    </font>
    <font>
      <b/>
      <i/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" fillId="4" borderId="3" applyNumberFormat="0" applyFon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</cellStyleXfs>
  <cellXfs count="233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4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20" fontId="9" fillId="0" borderId="5" xfId="0" applyNumberFormat="1" applyFont="1" applyBorder="1" applyProtection="1">
      <protection locked="0"/>
    </xf>
    <xf numFmtId="0" fontId="0" fillId="0" borderId="5" xfId="0" applyBorder="1"/>
    <xf numFmtId="0" fontId="0" fillId="0" borderId="6" xfId="0" applyBorder="1"/>
    <xf numFmtId="20" fontId="10" fillId="12" borderId="7" xfId="0" applyNumberFormat="1" applyFont="1" applyFill="1" applyBorder="1" applyAlignment="1" applyProtection="1">
      <alignment horizontal="center"/>
      <protection locked="0"/>
    </xf>
    <xf numFmtId="0" fontId="10" fillId="0" borderId="8" xfId="0" applyFont="1" applyBorder="1" applyProtection="1">
      <protection locked="0"/>
    </xf>
    <xf numFmtId="20" fontId="10" fillId="12" borderId="9" xfId="0" applyNumberFormat="1" applyFont="1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10" fillId="12" borderId="9" xfId="0" applyFont="1" applyFill="1" applyBorder="1" applyAlignment="1" applyProtection="1">
      <alignment horizontal="center"/>
      <protection locked="0"/>
    </xf>
    <xf numFmtId="20" fontId="9" fillId="0" borderId="8" xfId="0" applyNumberFormat="1" applyFont="1" applyBorder="1" applyAlignment="1" applyProtection="1">
      <alignment horizontal="left"/>
      <protection locked="0"/>
    </xf>
    <xf numFmtId="0" fontId="0" fillId="0" borderId="10" xfId="0" applyBorder="1"/>
    <xf numFmtId="0" fontId="11" fillId="0" borderId="0" xfId="0" applyFont="1" applyAlignment="1">
      <alignment horizontal="center"/>
    </xf>
    <xf numFmtId="0" fontId="0" fillId="13" borderId="0" xfId="0" applyFill="1"/>
    <xf numFmtId="0" fontId="5" fillId="1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14" borderId="12" xfId="0" applyFont="1" applyFill="1" applyBorder="1" applyAlignment="1" applyProtection="1">
      <alignment horizontal="center"/>
      <protection locked="0"/>
    </xf>
    <xf numFmtId="0" fontId="9" fillId="14" borderId="13" xfId="0" applyFont="1" applyFill="1" applyBorder="1" applyAlignment="1" applyProtection="1">
      <alignment horizontal="center"/>
      <protection locked="0"/>
    </xf>
    <xf numFmtId="0" fontId="9" fillId="14" borderId="0" xfId="0" applyFont="1" applyFill="1" applyAlignment="1" applyProtection="1">
      <alignment horizontal="center"/>
      <protection locked="0"/>
    </xf>
    <xf numFmtId="0" fontId="9" fillId="14" borderId="15" xfId="0" applyFont="1" applyFill="1" applyBorder="1" applyAlignment="1" applyProtection="1">
      <alignment horizontal="center"/>
      <protection locked="0"/>
    </xf>
    <xf numFmtId="0" fontId="9" fillId="14" borderId="17" xfId="0" applyFont="1" applyFill="1" applyBorder="1" applyAlignment="1" applyProtection="1">
      <alignment horizontal="center"/>
      <protection locked="0"/>
    </xf>
    <xf numFmtId="0" fontId="10" fillId="14" borderId="18" xfId="0" applyFont="1" applyFill="1" applyBorder="1" applyAlignment="1" applyProtection="1">
      <alignment horizontal="center"/>
      <protection locked="0"/>
    </xf>
    <xf numFmtId="0" fontId="12" fillId="14" borderId="14" xfId="0" applyFont="1" applyFill="1" applyBorder="1" applyAlignment="1" applyProtection="1">
      <alignment horizontal="center"/>
      <protection locked="0"/>
    </xf>
    <xf numFmtId="0" fontId="12" fillId="14" borderId="0" xfId="0" applyFont="1" applyFill="1" applyAlignment="1" applyProtection="1">
      <alignment horizontal="center"/>
      <protection locked="0"/>
    </xf>
    <xf numFmtId="0" fontId="12" fillId="14" borderId="0" xfId="0" applyFont="1" applyFill="1" applyAlignment="1">
      <alignment horizontal="center"/>
    </xf>
    <xf numFmtId="0" fontId="12" fillId="14" borderId="16" xfId="0" applyFont="1" applyFill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3" fillId="3" borderId="2" xfId="2" applyNumberFormat="1" applyAlignment="1" applyProtection="1">
      <alignment horizontal="center"/>
      <protection locked="0"/>
    </xf>
    <xf numFmtId="0" fontId="14" fillId="0" borderId="5" xfId="0" applyFont="1" applyBorder="1" applyProtection="1">
      <protection locked="0"/>
    </xf>
    <xf numFmtId="0" fontId="3" fillId="4" borderId="3" xfId="4" applyNumberFormat="1" applyFont="1" applyAlignment="1" applyProtection="1">
      <alignment horizontal="center"/>
      <protection locked="0"/>
    </xf>
    <xf numFmtId="0" fontId="1" fillId="9" borderId="5" xfId="9" applyBorder="1" applyAlignment="1" applyProtection="1">
      <alignment horizontal="center"/>
      <protection locked="0"/>
    </xf>
    <xf numFmtId="0" fontId="2" fillId="2" borderId="5" xfId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20" fontId="6" fillId="10" borderId="5" xfId="10" applyNumberFormat="1" applyBorder="1" applyAlignment="1" applyProtection="1">
      <alignment horizontal="center"/>
      <protection locked="0"/>
    </xf>
    <xf numFmtId="20" fontId="14" fillId="4" borderId="3" xfId="4" applyNumberFormat="1" applyFont="1" applyAlignment="1" applyProtection="1">
      <alignment horizontal="center"/>
      <protection locked="0"/>
    </xf>
    <xf numFmtId="0" fontId="4" fillId="3" borderId="1" xfId="3" applyAlignment="1" applyProtection="1">
      <alignment horizontal="center"/>
      <protection locked="0"/>
    </xf>
    <xf numFmtId="0" fontId="6" fillId="7" borderId="5" xfId="7" applyBorder="1" applyAlignment="1">
      <alignment horizontal="center"/>
    </xf>
    <xf numFmtId="0" fontId="6" fillId="5" borderId="5" xfId="5" applyBorder="1"/>
    <xf numFmtId="0" fontId="1" fillId="9" borderId="5" xfId="9" applyBorder="1"/>
    <xf numFmtId="0" fontId="1" fillId="6" borderId="5" xfId="6" applyBorder="1" applyAlignment="1" applyProtection="1">
      <alignment horizontal="center"/>
      <protection locked="0"/>
    </xf>
    <xf numFmtId="0" fontId="1" fillId="11" borderId="5" xfId="11" applyBorder="1" applyAlignment="1" applyProtection="1">
      <alignment horizontal="center"/>
      <protection locked="0"/>
    </xf>
    <xf numFmtId="0" fontId="6" fillId="8" borderId="5" xfId="8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9" borderId="0" xfId="9" applyAlignment="1" applyProtection="1">
      <alignment horizontal="center"/>
      <protection locked="0"/>
    </xf>
    <xf numFmtId="0" fontId="2" fillId="2" borderId="0" xfId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20" fontId="6" fillId="10" borderId="0" xfId="10" applyNumberFormat="1" applyAlignment="1" applyProtection="1">
      <alignment horizontal="center"/>
      <protection locked="0"/>
    </xf>
    <xf numFmtId="0" fontId="1" fillId="6" borderId="0" xfId="6" applyAlignment="1" applyProtection="1">
      <alignment horizontal="center"/>
      <protection locked="0"/>
    </xf>
    <xf numFmtId="0" fontId="1" fillId="11" borderId="0" xfId="11" applyAlignment="1" applyProtection="1">
      <alignment horizontal="center"/>
      <protection locked="0"/>
    </xf>
    <xf numFmtId="0" fontId="6" fillId="8" borderId="0" xfId="8" applyAlignment="1" applyProtection="1">
      <alignment horizontal="center"/>
      <protection locked="0"/>
    </xf>
    <xf numFmtId="0" fontId="6" fillId="8" borderId="0" xfId="8" applyProtection="1">
      <protection locked="0"/>
    </xf>
    <xf numFmtId="0" fontId="9" fillId="0" borderId="17" xfId="0" applyFont="1" applyBorder="1" applyAlignment="1" applyProtection="1">
      <alignment horizontal="center"/>
      <protection locked="0"/>
    </xf>
    <xf numFmtId="0" fontId="14" fillId="0" borderId="17" xfId="0" applyFont="1" applyBorder="1" applyAlignment="1" applyProtection="1">
      <alignment horizontal="center"/>
      <protection locked="0"/>
    </xf>
    <xf numFmtId="0" fontId="1" fillId="9" borderId="17" xfId="9" applyBorder="1" applyAlignment="1" applyProtection="1">
      <alignment horizontal="center"/>
      <protection locked="0"/>
    </xf>
    <xf numFmtId="0" fontId="2" fillId="2" borderId="17" xfId="1" applyBorder="1" applyAlignment="1" applyProtection="1">
      <alignment horizontal="center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6" fillId="10" borderId="17" xfId="10" applyBorder="1" applyAlignment="1" applyProtection="1">
      <alignment horizontal="center"/>
      <protection locked="0"/>
    </xf>
    <xf numFmtId="0" fontId="16" fillId="4" borderId="3" xfId="4" applyFont="1" applyAlignment="1" applyProtection="1">
      <alignment horizontal="center"/>
      <protection locked="0"/>
    </xf>
    <xf numFmtId="0" fontId="6" fillId="7" borderId="17" xfId="7" applyBorder="1" applyAlignment="1" applyProtection="1">
      <alignment horizontal="center"/>
      <protection locked="0"/>
    </xf>
    <xf numFmtId="0" fontId="6" fillId="5" borderId="17" xfId="5" applyBorder="1" applyAlignment="1" applyProtection="1">
      <alignment horizontal="center"/>
      <protection locked="0"/>
    </xf>
    <xf numFmtId="0" fontId="1" fillId="6" borderId="17" xfId="6" applyBorder="1" applyAlignment="1" applyProtection="1">
      <alignment horizontal="center"/>
      <protection locked="0"/>
    </xf>
    <xf numFmtId="0" fontId="1" fillId="11" borderId="17" xfId="11" applyBorder="1" applyAlignment="1" applyProtection="1">
      <alignment horizontal="center"/>
      <protection locked="0"/>
    </xf>
    <xf numFmtId="0" fontId="6" fillId="8" borderId="17" xfId="8" applyBorder="1" applyAlignment="1" applyProtection="1">
      <alignment horizontal="center"/>
      <protection locked="0"/>
    </xf>
    <xf numFmtId="2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7" fillId="0" borderId="5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7" xfId="0" applyFont="1" applyBorder="1" applyAlignment="1" applyProtection="1">
      <alignment horizontal="center"/>
      <protection locked="0"/>
    </xf>
    <xf numFmtId="0" fontId="19" fillId="0" borderId="5" xfId="0" applyFont="1" applyBorder="1"/>
    <xf numFmtId="20" fontId="20" fillId="0" borderId="0" xfId="0" applyNumberFormat="1" applyFont="1" applyAlignment="1" applyProtection="1">
      <alignment horizontal="centerContinuous"/>
      <protection locked="0"/>
    </xf>
    <xf numFmtId="20" fontId="20" fillId="0" borderId="0" xfId="0" applyNumberFormat="1" applyFont="1" applyAlignment="1" applyProtection="1">
      <alignment horizontal="center"/>
      <protection locked="0"/>
    </xf>
    <xf numFmtId="0" fontId="21" fillId="0" borderId="17" xfId="0" applyFont="1" applyBorder="1" applyAlignment="1" applyProtection="1">
      <alignment horizontal="center"/>
      <protection locked="0"/>
    </xf>
    <xf numFmtId="0" fontId="22" fillId="0" borderId="5" xfId="0" applyFont="1" applyBorder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20" fontId="24" fillId="5" borderId="0" xfId="5" applyNumberFormat="1" applyFont="1" applyBorder="1" applyAlignment="1" applyProtection="1">
      <alignment horizontal="center"/>
      <protection locked="0"/>
    </xf>
    <xf numFmtId="20" fontId="24" fillId="7" borderId="0" xfId="7" applyNumberFormat="1" applyFont="1" applyBorder="1" applyAlignment="1" applyProtection="1">
      <alignment horizontal="center"/>
      <protection locked="0"/>
    </xf>
    <xf numFmtId="20" fontId="24" fillId="7" borderId="0" xfId="7" applyNumberFormat="1" applyFont="1" applyBorder="1" applyAlignment="1" applyProtection="1">
      <alignment horizontal="centerContinuous"/>
      <protection locked="0"/>
    </xf>
    <xf numFmtId="20" fontId="24" fillId="5" borderId="0" xfId="5" applyNumberFormat="1" applyFont="1" applyBorder="1" applyAlignment="1" applyProtection="1">
      <alignment horizontal="centerContinuous"/>
      <protection locked="0"/>
    </xf>
    <xf numFmtId="0" fontId="0" fillId="0" borderId="0" xfId="0" applyAlignment="1">
      <alignment horizontal="right"/>
    </xf>
    <xf numFmtId="0" fontId="0" fillId="13" borderId="0" xfId="0" applyFill="1" applyAlignment="1">
      <alignment horizontal="center"/>
    </xf>
    <xf numFmtId="0" fontId="12" fillId="15" borderId="0" xfId="0" applyFont="1" applyFill="1" applyAlignment="1" applyProtection="1">
      <alignment horizontal="center"/>
      <protection locked="0"/>
    </xf>
    <xf numFmtId="0" fontId="12" fillId="15" borderId="0" xfId="0" applyFont="1" applyFill="1" applyAlignment="1">
      <alignment horizontal="center"/>
    </xf>
    <xf numFmtId="0" fontId="12" fillId="15" borderId="15" xfId="0" applyFont="1" applyFill="1" applyBorder="1" applyAlignment="1" applyProtection="1">
      <alignment horizontal="center"/>
      <protection locked="0"/>
    </xf>
    <xf numFmtId="0" fontId="12" fillId="15" borderId="17" xfId="0" applyFont="1" applyFill="1" applyBorder="1" applyAlignment="1" applyProtection="1">
      <alignment horizontal="center"/>
      <protection locked="0"/>
    </xf>
    <xf numFmtId="0" fontId="12" fillId="15" borderId="17" xfId="0" applyFont="1" applyFill="1" applyBorder="1" applyAlignment="1">
      <alignment horizontal="center"/>
    </xf>
    <xf numFmtId="0" fontId="12" fillId="15" borderId="18" xfId="0" applyFont="1" applyFill="1" applyBorder="1" applyAlignment="1" applyProtection="1">
      <alignment horizontal="center"/>
      <protection locked="0"/>
    </xf>
    <xf numFmtId="0" fontId="12" fillId="13" borderId="0" xfId="0" applyFont="1" applyFill="1" applyAlignment="1" applyProtection="1">
      <alignment horizontal="center"/>
      <protection locked="0"/>
    </xf>
    <xf numFmtId="0" fontId="12" fillId="13" borderId="0" xfId="0" applyFont="1" applyFill="1" applyAlignment="1">
      <alignment horizontal="center"/>
    </xf>
    <xf numFmtId="0" fontId="12" fillId="13" borderId="15" xfId="0" applyFont="1" applyFill="1" applyBorder="1" applyAlignment="1" applyProtection="1">
      <alignment horizontal="center"/>
      <protection locked="0"/>
    </xf>
    <xf numFmtId="0" fontId="12" fillId="13" borderId="17" xfId="0" applyFont="1" applyFill="1" applyBorder="1" applyAlignment="1" applyProtection="1">
      <alignment horizontal="center"/>
      <protection locked="0"/>
    </xf>
    <xf numFmtId="0" fontId="12" fillId="13" borderId="17" xfId="0" applyFont="1" applyFill="1" applyBorder="1" applyAlignment="1">
      <alignment horizontal="center"/>
    </xf>
    <xf numFmtId="0" fontId="12" fillId="13" borderId="18" xfId="0" applyFont="1" applyFill="1" applyBorder="1" applyAlignment="1" applyProtection="1">
      <alignment horizontal="center"/>
      <protection locked="0"/>
    </xf>
    <xf numFmtId="0" fontId="5" fillId="13" borderId="0" xfId="0" applyFont="1" applyFill="1"/>
    <xf numFmtId="49" fontId="7" fillId="0" borderId="0" xfId="0" applyNumberFormat="1" applyFont="1"/>
    <xf numFmtId="0" fontId="25" fillId="0" borderId="0" xfId="0" applyFont="1"/>
    <xf numFmtId="0" fontId="26" fillId="0" borderId="0" xfId="0" applyFont="1"/>
    <xf numFmtId="0" fontId="28" fillId="14" borderId="23" xfId="0" applyFont="1" applyFill="1" applyBorder="1" applyAlignment="1" applyProtection="1">
      <alignment horizontal="center"/>
      <protection locked="0"/>
    </xf>
    <xf numFmtId="0" fontId="28" fillId="14" borderId="25" xfId="0" applyFont="1" applyFill="1" applyBorder="1" applyAlignment="1" applyProtection="1">
      <alignment horizontal="center"/>
      <protection locked="0"/>
    </xf>
    <xf numFmtId="0" fontId="27" fillId="0" borderId="11" xfId="0" applyFont="1" applyBorder="1" applyAlignment="1" applyProtection="1">
      <alignment horizontal="center"/>
      <protection locked="0"/>
    </xf>
    <xf numFmtId="0" fontId="28" fillId="0" borderId="12" xfId="0" applyFont="1" applyBorder="1" applyProtection="1">
      <protection locked="0"/>
    </xf>
    <xf numFmtId="0" fontId="27" fillId="0" borderId="12" xfId="0" applyFont="1" applyBorder="1" applyAlignment="1" applyProtection="1">
      <alignment horizontal="center"/>
      <protection locked="0"/>
    </xf>
    <xf numFmtId="0" fontId="25" fillId="0" borderId="12" xfId="0" applyFont="1" applyBorder="1" applyProtection="1">
      <protection locked="0"/>
    </xf>
    <xf numFmtId="0" fontId="28" fillId="0" borderId="17" xfId="0" applyFont="1" applyBorder="1" applyProtection="1">
      <protection locked="0"/>
    </xf>
    <xf numFmtId="0" fontId="25" fillId="0" borderId="17" xfId="0" applyFont="1" applyBorder="1" applyProtection="1">
      <protection locked="0"/>
    </xf>
    <xf numFmtId="20" fontId="27" fillId="0" borderId="17" xfId="0" applyNumberFormat="1" applyFont="1" applyBorder="1" applyAlignment="1" applyProtection="1">
      <alignment horizontal="left"/>
      <protection locked="0"/>
    </xf>
    <xf numFmtId="0" fontId="25" fillId="0" borderId="18" xfId="0" applyFont="1" applyBorder="1"/>
    <xf numFmtId="0" fontId="0" fillId="0" borderId="0" xfId="0" applyAlignment="1">
      <alignment horizontal="center"/>
    </xf>
    <xf numFmtId="0" fontId="13" fillId="14" borderId="23" xfId="0" applyFont="1" applyFill="1" applyBorder="1" applyAlignment="1">
      <alignment horizontal="center"/>
    </xf>
    <xf numFmtId="0" fontId="13" fillId="14" borderId="25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0" fontId="28" fillId="16" borderId="19" xfId="0" applyNumberFormat="1" applyFont="1" applyFill="1" applyBorder="1" applyAlignment="1" applyProtection="1">
      <alignment horizontal="center"/>
      <protection locked="0"/>
    </xf>
    <xf numFmtId="0" fontId="28" fillId="16" borderId="19" xfId="0" applyFont="1" applyFill="1" applyBorder="1" applyAlignment="1" applyProtection="1">
      <alignment horizontal="center"/>
      <protection locked="0"/>
    </xf>
    <xf numFmtId="0" fontId="13" fillId="16" borderId="20" xfId="0" applyFont="1" applyFill="1" applyBorder="1" applyAlignment="1">
      <alignment horizontal="center"/>
    </xf>
    <xf numFmtId="0" fontId="13" fillId="16" borderId="24" xfId="0" applyFont="1" applyFill="1" applyBorder="1" applyAlignment="1">
      <alignment horizontal="center"/>
    </xf>
    <xf numFmtId="0" fontId="13" fillId="16" borderId="26" xfId="0" applyFont="1" applyFill="1" applyBorder="1" applyAlignment="1">
      <alignment horizontal="center"/>
    </xf>
    <xf numFmtId="0" fontId="13" fillId="16" borderId="27" xfId="0" applyFont="1" applyFill="1" applyBorder="1" applyAlignment="1">
      <alignment horizontal="center"/>
    </xf>
    <xf numFmtId="0" fontId="28" fillId="16" borderId="20" xfId="0" applyFont="1" applyFill="1" applyBorder="1" applyAlignment="1" applyProtection="1">
      <alignment horizontal="center"/>
      <protection locked="0"/>
    </xf>
    <xf numFmtId="0" fontId="28" fillId="16" borderId="20" xfId="0" applyFont="1" applyFill="1" applyBorder="1" applyAlignment="1">
      <alignment horizontal="center"/>
    </xf>
    <xf numFmtId="0" fontId="28" fillId="16" borderId="24" xfId="0" applyFont="1" applyFill="1" applyBorder="1" applyAlignment="1" applyProtection="1">
      <alignment horizontal="center"/>
      <protection locked="0"/>
    </xf>
    <xf numFmtId="0" fontId="28" fillId="16" borderId="26" xfId="0" applyFont="1" applyFill="1" applyBorder="1" applyAlignment="1">
      <alignment horizontal="center"/>
    </xf>
    <xf numFmtId="0" fontId="28" fillId="16" borderId="27" xfId="0" applyFont="1" applyFill="1" applyBorder="1" applyAlignment="1" applyProtection="1">
      <alignment horizontal="center"/>
      <protection locked="0"/>
    </xf>
    <xf numFmtId="0" fontId="30" fillId="0" borderId="0" xfId="0" applyFont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7" xfId="0" applyBorder="1"/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7" xfId="0" applyBorder="1" applyAlignment="1">
      <alignment horizontal="right" vertical="center"/>
    </xf>
    <xf numFmtId="165" fontId="0" fillId="0" borderId="0" xfId="0" applyNumberFormat="1"/>
    <xf numFmtId="10" fontId="0" fillId="0" borderId="0" xfId="0" applyNumberFormat="1"/>
    <xf numFmtId="0" fontId="5" fillId="0" borderId="0" xfId="0" applyFont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0" fillId="0" borderId="17" xfId="0" applyBorder="1" applyAlignment="1">
      <alignment horizontal="right"/>
    </xf>
    <xf numFmtId="0" fontId="29" fillId="0" borderId="30" xfId="0" applyFont="1" applyBorder="1" applyAlignment="1">
      <alignment horizontal="center" vertical="center" wrapText="1"/>
    </xf>
    <xf numFmtId="0" fontId="9" fillId="14" borderId="11" xfId="0" applyFont="1" applyFill="1" applyBorder="1" applyAlignment="1" applyProtection="1">
      <alignment horizontal="center" vertical="center" wrapText="1"/>
      <protection locked="0"/>
    </xf>
    <xf numFmtId="0" fontId="9" fillId="14" borderId="14" xfId="0" applyFont="1" applyFill="1" applyBorder="1" applyAlignment="1" applyProtection="1">
      <alignment horizontal="center" vertical="center" wrapText="1"/>
      <protection locked="0"/>
    </xf>
    <xf numFmtId="0" fontId="9" fillId="14" borderId="16" xfId="0" applyFont="1" applyFill="1" applyBorder="1" applyAlignment="1" applyProtection="1">
      <alignment horizontal="center" vertical="center" wrapText="1"/>
      <protection locked="0"/>
    </xf>
    <xf numFmtId="0" fontId="13" fillId="14" borderId="14" xfId="0" applyFont="1" applyFill="1" applyBorder="1" applyAlignment="1">
      <alignment horizontal="center" vertical="center" wrapText="1"/>
    </xf>
    <xf numFmtId="0" fontId="13" fillId="14" borderId="16" xfId="0" applyFont="1" applyFill="1" applyBorder="1" applyAlignment="1">
      <alignment horizontal="center" vertical="center" wrapText="1"/>
    </xf>
    <xf numFmtId="20" fontId="27" fillId="0" borderId="12" xfId="0" applyNumberFormat="1" applyFont="1" applyBorder="1" applyAlignment="1" applyProtection="1">
      <alignment horizontal="center"/>
      <protection locked="0"/>
    </xf>
    <xf numFmtId="20" fontId="27" fillId="0" borderId="13" xfId="0" applyNumberFormat="1" applyFont="1" applyBorder="1" applyAlignment="1" applyProtection="1">
      <alignment horizontal="center"/>
      <protection locked="0"/>
    </xf>
    <xf numFmtId="0" fontId="29" fillId="14" borderId="31" xfId="0" applyFont="1" applyFill="1" applyBorder="1" applyAlignment="1" applyProtection="1">
      <alignment horizontal="center" vertical="center" wrapText="1"/>
      <protection locked="0"/>
    </xf>
    <xf numFmtId="0" fontId="29" fillId="14" borderId="32" xfId="0" applyFont="1" applyFill="1" applyBorder="1" applyAlignment="1" applyProtection="1">
      <alignment horizontal="center" vertical="center" wrapText="1"/>
      <protection locked="0"/>
    </xf>
    <xf numFmtId="0" fontId="29" fillId="14" borderId="33" xfId="0" applyFont="1" applyFill="1" applyBorder="1" applyAlignment="1" applyProtection="1">
      <alignment horizontal="center" vertical="center" wrapText="1"/>
      <protection locked="0"/>
    </xf>
    <xf numFmtId="0" fontId="29" fillId="14" borderId="28" xfId="0" applyFont="1" applyFill="1" applyBorder="1" applyAlignment="1" applyProtection="1">
      <alignment horizontal="center" vertical="center" wrapText="1"/>
      <protection locked="0"/>
    </xf>
    <xf numFmtId="0" fontId="29" fillId="14" borderId="29" xfId="0" applyFont="1" applyFill="1" applyBorder="1" applyAlignment="1" applyProtection="1">
      <alignment horizontal="center" vertical="center" wrapText="1"/>
      <protection locked="0"/>
    </xf>
    <xf numFmtId="0" fontId="29" fillId="14" borderId="30" xfId="0" applyFont="1" applyFill="1" applyBorder="1" applyAlignment="1" applyProtection="1">
      <alignment horizontal="center" vertical="center" wrapText="1"/>
      <protection locked="0"/>
    </xf>
    <xf numFmtId="0" fontId="29" fillId="14" borderId="34" xfId="0" applyFont="1" applyFill="1" applyBorder="1" applyAlignment="1" applyProtection="1">
      <alignment horizontal="center" vertical="center" wrapText="1"/>
      <protection locked="0"/>
    </xf>
    <xf numFmtId="0" fontId="29" fillId="14" borderId="35" xfId="0" applyFont="1" applyFill="1" applyBorder="1" applyAlignment="1" applyProtection="1">
      <alignment horizontal="center" vertical="center" wrapText="1"/>
      <protection locked="0"/>
    </xf>
    <xf numFmtId="0" fontId="29" fillId="14" borderId="36" xfId="0" applyFont="1" applyFill="1" applyBorder="1" applyAlignment="1" applyProtection="1">
      <alignment horizontal="center" vertical="center" wrapText="1"/>
      <protection locked="0"/>
    </xf>
    <xf numFmtId="0" fontId="27" fillId="14" borderId="21" xfId="0" applyFont="1" applyFill="1" applyBorder="1" applyAlignment="1" applyProtection="1">
      <alignment horizontal="center" vertical="center" wrapText="1"/>
      <protection locked="0"/>
    </xf>
    <xf numFmtId="0" fontId="27" fillId="14" borderId="23" xfId="0" applyFont="1" applyFill="1" applyBorder="1" applyAlignment="1" applyProtection="1">
      <alignment horizontal="center" vertical="center" wrapText="1"/>
      <protection locked="0"/>
    </xf>
    <xf numFmtId="0" fontId="28" fillId="14" borderId="22" xfId="0" applyFont="1" applyFill="1" applyBorder="1" applyAlignment="1" applyProtection="1">
      <alignment horizontal="center" vertical="center" wrapText="1"/>
      <protection locked="0"/>
    </xf>
    <xf numFmtId="0" fontId="28" fillId="14" borderId="20" xfId="0" applyFont="1" applyFill="1" applyBorder="1" applyAlignment="1" applyProtection="1">
      <alignment horizontal="center" vertical="center" wrapText="1"/>
      <protection locked="0"/>
    </xf>
    <xf numFmtId="0" fontId="28" fillId="14" borderId="26" xfId="0" applyFont="1" applyFill="1" applyBorder="1" applyAlignment="1" applyProtection="1">
      <alignment horizontal="center" vertical="center" wrapText="1"/>
      <protection locked="0"/>
    </xf>
    <xf numFmtId="0" fontId="27" fillId="14" borderId="22" xfId="0" applyFont="1" applyFill="1" applyBorder="1" applyAlignment="1" applyProtection="1">
      <alignment horizontal="center" vertical="center" wrapText="1"/>
      <protection locked="0"/>
    </xf>
    <xf numFmtId="0" fontId="27" fillId="14" borderId="20" xfId="0" applyFont="1" applyFill="1" applyBorder="1" applyAlignment="1" applyProtection="1">
      <alignment horizontal="center" vertical="center" wrapText="1"/>
      <protection locked="0"/>
    </xf>
    <xf numFmtId="0" fontId="27" fillId="14" borderId="7" xfId="0" applyFont="1" applyFill="1" applyBorder="1" applyAlignment="1" applyProtection="1">
      <alignment horizontal="center" vertical="center" wrapText="1"/>
      <protection locked="0"/>
    </xf>
    <xf numFmtId="0" fontId="27" fillId="14" borderId="24" xfId="0" applyFont="1" applyFill="1" applyBorder="1" applyAlignment="1" applyProtection="1">
      <alignment horizontal="center" vertical="center" wrapText="1"/>
      <protection locked="0"/>
    </xf>
    <xf numFmtId="0" fontId="27" fillId="14" borderId="21" xfId="0" applyFont="1" applyFill="1" applyBorder="1" applyAlignment="1" applyProtection="1">
      <alignment horizontal="center" vertical="center"/>
      <protection locked="0"/>
    </xf>
    <xf numFmtId="0" fontId="27" fillId="14" borderId="23" xfId="0" applyFont="1" applyFill="1" applyBorder="1" applyAlignment="1" applyProtection="1">
      <alignment horizontal="center" vertical="center"/>
      <protection locked="0"/>
    </xf>
    <xf numFmtId="0" fontId="27" fillId="14" borderId="25" xfId="0" applyFont="1" applyFill="1" applyBorder="1" applyAlignment="1" applyProtection="1">
      <alignment horizontal="center" vertical="center"/>
      <protection locked="0"/>
    </xf>
    <xf numFmtId="0" fontId="28" fillId="14" borderId="22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0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6" xfId="2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0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6" xfId="4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9" applyFont="1" applyFill="1" applyBorder="1" applyAlignment="1" applyProtection="1">
      <alignment horizontal="center" vertical="center" wrapText="1"/>
      <protection locked="0"/>
    </xf>
    <xf numFmtId="0" fontId="28" fillId="14" borderId="20" xfId="9" applyFont="1" applyFill="1" applyBorder="1" applyAlignment="1" applyProtection="1">
      <alignment horizontal="center" vertical="center" wrapText="1"/>
      <protection locked="0"/>
    </xf>
    <xf numFmtId="0" fontId="28" fillId="14" borderId="26" xfId="9" applyFont="1" applyFill="1" applyBorder="1" applyAlignment="1" applyProtection="1">
      <alignment horizontal="center" vertical="center" wrapText="1"/>
      <protection locked="0"/>
    </xf>
    <xf numFmtId="0" fontId="28" fillId="14" borderId="22" xfId="1" applyFont="1" applyFill="1" applyBorder="1" applyAlignment="1" applyProtection="1">
      <alignment horizontal="center" vertical="center" wrapText="1"/>
      <protection locked="0"/>
    </xf>
    <xf numFmtId="0" fontId="28" fillId="14" borderId="20" xfId="1" applyFont="1" applyFill="1" applyBorder="1" applyAlignment="1" applyProtection="1">
      <alignment horizontal="center" vertical="center" wrapText="1"/>
      <protection locked="0"/>
    </xf>
    <xf numFmtId="0" fontId="28" fillId="14" borderId="26" xfId="1" applyFont="1" applyFill="1" applyBorder="1" applyAlignment="1" applyProtection="1">
      <alignment horizontal="center" vertical="center" wrapText="1"/>
      <protection locked="0"/>
    </xf>
    <xf numFmtId="0" fontId="28" fillId="17" borderId="22" xfId="0" applyFont="1" applyFill="1" applyBorder="1" applyAlignment="1" applyProtection="1">
      <alignment horizontal="center" vertical="center" wrapText="1"/>
      <protection locked="0"/>
    </xf>
    <xf numFmtId="0" fontId="28" fillId="17" borderId="20" xfId="0" applyFont="1" applyFill="1" applyBorder="1" applyAlignment="1" applyProtection="1">
      <alignment horizontal="center" vertical="center" wrapText="1"/>
      <protection locked="0"/>
    </xf>
    <xf numFmtId="0" fontId="28" fillId="17" borderId="26" xfId="0" applyFont="1" applyFill="1" applyBorder="1" applyAlignment="1" applyProtection="1">
      <alignment horizontal="center" vertical="center" wrapText="1"/>
      <protection locked="0"/>
    </xf>
    <xf numFmtId="20" fontId="28" fillId="17" borderId="22" xfId="10" applyNumberFormat="1" applyFont="1" applyFill="1" applyBorder="1" applyAlignment="1" applyProtection="1">
      <alignment horizontal="center" vertical="center" wrapText="1"/>
      <protection locked="0"/>
    </xf>
    <xf numFmtId="20" fontId="28" fillId="17" borderId="20" xfId="10" applyNumberFormat="1" applyFont="1" applyFill="1" applyBorder="1" applyAlignment="1" applyProtection="1">
      <alignment horizontal="center" vertical="center" wrapText="1"/>
      <protection locked="0"/>
    </xf>
    <xf numFmtId="20" fontId="28" fillId="17" borderId="26" xfId="10" applyNumberFormat="1" applyFont="1" applyFill="1" applyBorder="1" applyAlignment="1" applyProtection="1">
      <alignment horizontal="center" vertical="center" wrapText="1"/>
      <protection locked="0"/>
    </xf>
    <xf numFmtId="20" fontId="28" fillId="14" borderId="22" xfId="4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4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4" applyNumberFormat="1" applyFont="1" applyFill="1" applyBorder="1" applyAlignment="1" applyProtection="1">
      <alignment horizontal="center" vertical="center" wrapText="1"/>
      <protection locked="0"/>
    </xf>
    <xf numFmtId="0" fontId="28" fillId="18" borderId="22" xfId="3" applyFont="1" applyFill="1" applyBorder="1" applyAlignment="1" applyProtection="1">
      <alignment horizontal="center" vertical="center" wrapText="1"/>
      <protection locked="0"/>
    </xf>
    <xf numFmtId="0" fontId="28" fillId="18" borderId="20" xfId="3" applyFont="1" applyFill="1" applyBorder="1" applyAlignment="1" applyProtection="1">
      <alignment horizontal="center" vertical="center" wrapText="1"/>
      <protection locked="0"/>
    </xf>
    <xf numFmtId="0" fontId="28" fillId="18" borderId="26" xfId="3" applyFont="1" applyFill="1" applyBorder="1" applyAlignment="1" applyProtection="1">
      <alignment horizontal="center" vertical="center" wrapText="1"/>
      <protection locked="0"/>
    </xf>
    <xf numFmtId="20" fontId="28" fillId="14" borderId="22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7" applyNumberFormat="1" applyFont="1" applyFill="1" applyBorder="1" applyAlignment="1" applyProtection="1">
      <alignment horizontal="center" vertical="center" wrapText="1"/>
      <protection locked="0"/>
    </xf>
    <xf numFmtId="20" fontId="28" fillId="14" borderId="22" xfId="5" applyNumberFormat="1" applyFont="1" applyFill="1" applyBorder="1" applyAlignment="1" applyProtection="1">
      <alignment horizontal="center" vertical="center" wrapText="1"/>
      <protection locked="0"/>
    </xf>
    <xf numFmtId="20" fontId="28" fillId="14" borderId="20" xfId="5" applyNumberFormat="1" applyFont="1" applyFill="1" applyBorder="1" applyAlignment="1" applyProtection="1">
      <alignment horizontal="center" vertical="center" wrapText="1"/>
      <protection locked="0"/>
    </xf>
    <xf numFmtId="20" fontId="28" fillId="14" borderId="26" xfId="5" applyNumberFormat="1" applyFont="1" applyFill="1" applyBorder="1" applyAlignment="1" applyProtection="1">
      <alignment horizontal="center" vertical="center" wrapText="1"/>
      <protection locked="0"/>
    </xf>
    <xf numFmtId="20" fontId="28" fillId="21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21" borderId="26" xfId="0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11" applyFont="1" applyFill="1" applyBorder="1" applyAlignment="1" applyProtection="1">
      <alignment horizontal="center" vertical="center" wrapText="1"/>
      <protection locked="0"/>
    </xf>
    <xf numFmtId="0" fontId="28" fillId="14" borderId="20" xfId="11" applyFont="1" applyFill="1" applyBorder="1" applyAlignment="1" applyProtection="1">
      <alignment horizontal="center" vertical="center" wrapText="1"/>
      <protection locked="0"/>
    </xf>
    <xf numFmtId="0" fontId="28" fillId="14" borderId="26" xfId="11" applyFont="1" applyFill="1" applyBorder="1" applyAlignment="1" applyProtection="1">
      <alignment horizontal="center" vertical="center" wrapText="1"/>
      <protection locked="0"/>
    </xf>
    <xf numFmtId="0" fontId="28" fillId="14" borderId="7" xfId="8" applyFont="1" applyFill="1" applyBorder="1" applyAlignment="1" applyProtection="1">
      <alignment horizontal="center" vertical="center" wrapText="1"/>
      <protection locked="0"/>
    </xf>
    <xf numFmtId="0" fontId="28" fillId="14" borderId="24" xfId="8" applyFont="1" applyFill="1" applyBorder="1" applyAlignment="1" applyProtection="1">
      <alignment horizontal="center" vertical="center" wrapText="1"/>
      <protection locked="0"/>
    </xf>
    <xf numFmtId="0" fontId="28" fillId="14" borderId="27" xfId="8" applyFont="1" applyFill="1" applyBorder="1" applyAlignment="1" applyProtection="1">
      <alignment horizontal="center" vertical="center" wrapText="1"/>
      <protection locked="0"/>
    </xf>
    <xf numFmtId="20" fontId="27" fillId="19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19" borderId="20" xfId="0" applyNumberFormat="1" applyFont="1" applyFill="1" applyBorder="1" applyAlignment="1" applyProtection="1">
      <alignment horizontal="center" vertical="center" wrapText="1"/>
      <protection locked="0"/>
    </xf>
    <xf numFmtId="20" fontId="27" fillId="20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20" borderId="20" xfId="0" applyNumberFormat="1" applyFont="1" applyFill="1" applyBorder="1" applyAlignment="1" applyProtection="1">
      <alignment horizontal="center" vertical="center" wrapText="1"/>
      <protection locked="0"/>
    </xf>
    <xf numFmtId="20" fontId="27" fillId="21" borderId="22" xfId="0" applyNumberFormat="1" applyFont="1" applyFill="1" applyBorder="1" applyAlignment="1" applyProtection="1">
      <alignment horizontal="center" vertical="center" wrapText="1"/>
      <protection locked="0"/>
    </xf>
    <xf numFmtId="20" fontId="27" fillId="21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9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19" borderId="26" xfId="0" applyNumberFormat="1" applyFont="1" applyFill="1" applyBorder="1" applyAlignment="1" applyProtection="1">
      <alignment horizontal="center" vertical="center" wrapText="1"/>
      <protection locked="0"/>
    </xf>
    <xf numFmtId="20" fontId="28" fillId="20" borderId="20" xfId="0" applyNumberFormat="1" applyFont="1" applyFill="1" applyBorder="1" applyAlignment="1" applyProtection="1">
      <alignment horizontal="center" vertical="center" wrapText="1"/>
      <protection locked="0"/>
    </xf>
    <xf numFmtId="20" fontId="28" fillId="20" borderId="26" xfId="0" applyNumberFormat="1" applyFont="1" applyFill="1" applyBorder="1" applyAlignment="1" applyProtection="1">
      <alignment horizontal="center" vertical="center" wrapText="1"/>
      <protection locked="0"/>
    </xf>
    <xf numFmtId="0" fontId="28" fillId="14" borderId="22" xfId="6" applyFont="1" applyFill="1" applyBorder="1" applyAlignment="1" applyProtection="1">
      <alignment horizontal="center" vertical="center" wrapText="1"/>
      <protection locked="0"/>
    </xf>
    <xf numFmtId="0" fontId="28" fillId="14" borderId="20" xfId="6" applyFont="1" applyFill="1" applyBorder="1" applyAlignment="1" applyProtection="1">
      <alignment horizontal="center" vertical="center" wrapText="1"/>
      <protection locked="0"/>
    </xf>
    <xf numFmtId="0" fontId="28" fillId="14" borderId="26" xfId="6" applyFont="1" applyFill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/>
    </xf>
  </cellXfs>
  <cellStyles count="12">
    <cellStyle name="20% — акцент2" xfId="6" builtinId="34"/>
    <cellStyle name="20% — акцент5" xfId="9" builtinId="46"/>
    <cellStyle name="20% — акцент6" xfId="11" builtinId="50"/>
    <cellStyle name="60% — акцент1" xfId="5" builtinId="32"/>
    <cellStyle name="60% — акцент2" xfId="7" builtinId="36"/>
    <cellStyle name="Акцент4" xfId="8" builtinId="41"/>
    <cellStyle name="Акцент6" xfId="10" builtinId="49"/>
    <cellStyle name="Вывод" xfId="2" builtinId="21"/>
    <cellStyle name="Вычисление" xfId="3" builtinId="22"/>
    <cellStyle name="Обычный" xfId="0" builtinId="0"/>
    <cellStyle name="Примечание" xfId="4" builtinId="10"/>
    <cellStyle name="Хороший" xfId="1" builtinId="26"/>
  </cellStyles>
  <dxfs count="53">
    <dxf>
      <fill>
        <patternFill patternType="solid">
          <fgColor auto="1"/>
          <bgColor theme="5" tint="0.79998168889431442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 patternType="solid">
          <fgColor auto="1"/>
          <bgColor theme="5" tint="0.79998168889431442"/>
        </patternFill>
      </fill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[$-F400]h:mm:ss\ AM/PM"/>
      <alignment horizontal="center" vertical="center" textRotation="0" wrapText="0" indent="0" justifyLastLine="0" shrinkToFit="0" readingOrder="0"/>
    </dxf>
    <dxf>
      <numFmt numFmtId="165" formatCode="[$-F400]h:mm:ss\ AM/PM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65" formatCode="[$-F400]h:mm:ss\ AM/PM"/>
      <alignment horizontal="center" vertical="center" textRotation="0" wrapText="0" indent="0" justifyLastLine="0" shrinkToFit="0" readingOrder="0"/>
    </dxf>
    <dxf>
      <numFmt numFmtId="165" formatCode="[$-F400]h:mm:ss\ AM/PM"/>
      <alignment horizontal="center" vertical="center" textRotation="0" indent="0" justifyLastLine="0" shrinkToFit="0" readingOrder="0"/>
    </dxf>
    <dxf>
      <numFmt numFmtId="165" formatCode="[$-F400]h:mm:ss\ AM/PM"/>
      <alignment horizontal="center" vertical="center" textRotation="0" wrapText="0" indent="0" justifyLastLine="0" shrinkToFit="0" readingOrder="0"/>
    </dxf>
    <dxf>
      <numFmt numFmtId="165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CCCC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полезной загрузки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tx>
            <c:strRef>
              <c:f>эксперимент!$W$29</c:f>
              <c:strCache>
                <c:ptCount val="1"/>
                <c:pt idx="0">
                  <c:v>Максимум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Dot"/>
              <a:round/>
              <a:headEnd type="diamond" w="med" len="med"/>
              <a:tailEnd type="diamond" w="med" len="med"/>
            </a:ln>
            <a:effectLst/>
          </c:spPr>
          <c:marker>
            <c:symbol val="none"/>
          </c:marker>
          <c:cat>
            <c:numRef>
              <c:f>эксперимент!$X$28:$Z$28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эксперимент!$X$29:$Z$29</c:f>
              <c:numCache>
                <c:formatCode>General</c:formatCode>
                <c:ptCount val="3"/>
                <c:pt idx="0">
                  <c:v>0.54259259259259252</c:v>
                </c:pt>
                <c:pt idx="1">
                  <c:v>0.67592592592592604</c:v>
                </c:pt>
                <c:pt idx="2">
                  <c:v>0.82037037037037042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6-4199-8F56-1D81D22751A1}"/>
            </c:ext>
          </c:extLst>
        </c:ser>
        <c:ser>
          <c:idx val="1"/>
          <c:order val="1"/>
          <c:tx>
            <c:strRef>
              <c:f>эксперимент!$W$30</c:f>
              <c:strCache>
                <c:ptCount val="1"/>
                <c:pt idx="0">
                  <c:v>Минимум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  <a:headEnd type="oval" w="med" len="med"/>
              <a:tailEnd type="oval" w="med" len="med"/>
            </a:ln>
            <a:effectLst/>
          </c:spPr>
          <c:marker>
            <c:symbol val="none"/>
          </c:marker>
          <c:cat>
            <c:numRef>
              <c:f>эксперимент!$X$28:$Z$28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эксперимент!$X$30:$Z$30</c:f>
              <c:numCache>
                <c:formatCode>General</c:formatCode>
                <c:ptCount val="3"/>
                <c:pt idx="0">
                  <c:v>0.42407407407407383</c:v>
                </c:pt>
                <c:pt idx="1">
                  <c:v>0.59629629629629632</c:v>
                </c:pt>
                <c:pt idx="2">
                  <c:v>0.72777777777777786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6-4199-8F56-1D81D22751A1}"/>
            </c:ext>
          </c:extLst>
        </c:ser>
        <c:ser>
          <c:idx val="2"/>
          <c:order val="2"/>
          <c:tx>
            <c:strRef>
              <c:f>эксперимент!$W$31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38100" cap="sq" cmpd="sng">
              <a:solidFill>
                <a:srgbClr val="00B050"/>
              </a:solidFill>
              <a:prstDash val="sysDot"/>
              <a:round/>
              <a:headEnd type="none" w="sm" len="sm"/>
              <a:tailEnd type="none"/>
            </a:ln>
            <a:effectLst>
              <a:outerShdw blurRad="50800" dist="50800" dir="5400000" sx="79000" sy="79000" algn="ctr" rotWithShape="0">
                <a:schemeClr val="bg1"/>
              </a:outerShdw>
              <a:softEdge rad="12700"/>
            </a:effectLst>
          </c:spPr>
          <c:marker>
            <c:symbol val="circle"/>
            <c:size val="6"/>
            <c:spPr>
              <a:solidFill>
                <a:srgbClr val="00B050"/>
              </a:solidFill>
              <a:ln cmpd="sng">
                <a:solidFill>
                  <a:srgbClr val="00B050"/>
                </a:solidFill>
                <a:prstDash val="solid"/>
              </a:ln>
              <a:effectLst>
                <a:outerShdw blurRad="50800" dist="50800" dir="5400000" sx="79000" sy="79000" algn="ctr" rotWithShape="0">
                  <a:schemeClr val="bg1"/>
                </a:outerShdw>
                <a:softEdge rad="12700"/>
              </a:effectLst>
            </c:spPr>
          </c:marker>
          <c:cat>
            <c:numRef>
              <c:f>эксперимент!$X$28:$Z$28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эксперимент!$X$31:$Z$31</c:f>
              <c:numCache>
                <c:formatCode>General</c:formatCode>
                <c:ptCount val="3"/>
                <c:pt idx="0">
                  <c:v>0.48953703703703699</c:v>
                </c:pt>
                <c:pt idx="1">
                  <c:v>0.63712962962962971</c:v>
                </c:pt>
                <c:pt idx="2">
                  <c:v>0.76120370370370383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C6-4199-8F56-1D81D2275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dk1">
                  <a:shade val="95000"/>
                  <a:satMod val="105000"/>
                </a:schemeClr>
              </a:solidFill>
              <a:prstDash val="solid"/>
              <a:round/>
              <a:headEnd type="diamond" w="sm" len="sm"/>
              <a:tailEnd type="stealth" w="sm" len="sm"/>
            </a:ln>
            <a:effectLst/>
          </c:spPr>
        </c:hiLowLines>
        <c:axId val="1387084703"/>
        <c:axId val="1382192367"/>
      </c:stockChart>
      <c:catAx>
        <c:axId val="138708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192367"/>
        <c:crosses val="autoZero"/>
        <c:auto val="1"/>
        <c:lblAlgn val="ctr"/>
        <c:lblOffset val="100"/>
        <c:noMultiLvlLbl val="0"/>
      </c:catAx>
      <c:valAx>
        <c:axId val="1382192367"/>
        <c:scaling>
          <c:orientation val="minMax"/>
          <c:min val="0.4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708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пребывания в системе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9525" cap="rnd" cmpd="sng" algn="ctr">
                <a:solidFill>
                  <a:schemeClr val="tx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эксперимент!$B$51:$B$59</c:f>
              <c:strCache>
                <c:ptCount val="9"/>
                <c:pt idx="0">
                  <c:v>0:05:43</c:v>
                </c:pt>
                <c:pt idx="1">
                  <c:v>0:05:50</c:v>
                </c:pt>
                <c:pt idx="2">
                  <c:v>0:05:58</c:v>
                </c:pt>
                <c:pt idx="3">
                  <c:v>0:06:05</c:v>
                </c:pt>
                <c:pt idx="4">
                  <c:v>0:06:12</c:v>
                </c:pt>
                <c:pt idx="5">
                  <c:v>0:06:19</c:v>
                </c:pt>
                <c:pt idx="6">
                  <c:v>0:06:26</c:v>
                </c:pt>
                <c:pt idx="7">
                  <c:v>0:06:34</c:v>
                </c:pt>
                <c:pt idx="8">
                  <c:v>Еще</c:v>
                </c:pt>
              </c:strCache>
            </c:strRef>
          </c:cat>
          <c:val>
            <c:numRef>
              <c:f>эксперимент!$C$51:$C$59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8-4092-B915-4C4B2525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815504"/>
        <c:axId val="167698512"/>
      </c:barChart>
      <c:catAx>
        <c:axId val="42981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698512"/>
        <c:crosses val="autoZero"/>
        <c:auto val="1"/>
        <c:lblAlgn val="ctr"/>
        <c:lblOffset val="100"/>
        <c:noMultiLvlLbl val="0"/>
      </c:catAx>
      <c:valAx>
        <c:axId val="167698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815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потерянных</a:t>
            </a:r>
            <a:r>
              <a:rPr lang="ru-RU" baseline="0"/>
              <a:t> заявок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эксперимент!$B$66:$B$70</c:f>
              <c:strCache>
                <c:ptCount val="5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&gt;10</c:v>
                </c:pt>
              </c:strCache>
            </c:strRef>
          </c:cat>
          <c:val>
            <c:numRef>
              <c:f>эксперимент!$C$66:$C$70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2-467B-8963-F8A274CF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712992"/>
        <c:axId val="167712656"/>
      </c:barChart>
      <c:catAx>
        <c:axId val="43071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712656"/>
        <c:crosses val="autoZero"/>
        <c:auto val="1"/>
        <c:lblAlgn val="ctr"/>
        <c:lblOffset val="100"/>
        <c:noMultiLvlLbl val="0"/>
      </c:catAx>
      <c:valAx>
        <c:axId val="167712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129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757238</xdr:colOff>
      <xdr:row>9</xdr:row>
      <xdr:rowOff>35757</xdr:rowOff>
    </xdr:from>
    <xdr:to>
      <xdr:col>27</xdr:col>
      <xdr:colOff>141430</xdr:colOff>
      <xdr:row>25</xdr:row>
      <xdr:rowOff>261939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63A4EC1-6940-4C6E-AE1E-A6E543F37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483288</xdr:colOff>
      <xdr:row>48</xdr:row>
      <xdr:rowOff>161033</xdr:rowOff>
    </xdr:from>
    <xdr:to>
      <xdr:col>7</xdr:col>
      <xdr:colOff>2045765</xdr:colOff>
      <xdr:row>60</xdr:row>
      <xdr:rowOff>18769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9BFA49-2DD6-41B2-B682-81FBA3C77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286219</xdr:colOff>
      <xdr:row>63</xdr:row>
      <xdr:rowOff>79578</xdr:rowOff>
    </xdr:from>
    <xdr:to>
      <xdr:col>8</xdr:col>
      <xdr:colOff>9385</xdr:colOff>
      <xdr:row>73</xdr:row>
      <xdr:rowOff>68694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0AC311B-4BD6-40D2-8EA5-21D23B7E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13138</xdr:colOff>
      <xdr:row>0</xdr:row>
      <xdr:rowOff>105102</xdr:rowOff>
    </xdr:from>
    <xdr:to>
      <xdr:col>22</xdr:col>
      <xdr:colOff>487653</xdr:colOff>
      <xdr:row>44</xdr:row>
      <xdr:rowOff>85007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8" y="105102"/>
          <a:ext cx="13914618" cy="83619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A9558-B21F-4BCA-9DCE-3DE2C4AE9D93}" name="Таблица2" displayName="Таблица2" ref="A3:I23" headerRowDxfId="52" dataDxfId="50" headerRowBorderDxfId="51" tableBorderDxfId="49">
  <autoFilter ref="A3:I23" xr:uid="{44D267C1-023F-4711-BDD3-B4EB8E5B10D1}"/>
  <tableColumns count="9">
    <tableColumn id="1" xr3:uid="{4C52CEDB-F2C3-46C1-9DB6-3EB681843EBD}" name="№ эксперимента" totalsRowLabel="Итог" dataDxfId="48" totalsRowDxfId="47"/>
    <tableColumn id="2" xr3:uid="{889664A6-8115-4B71-ADEF-F9B3D0C55767}" name="Среднее время пребывания в системе" totalsRowFunction="average" dataDxfId="46" totalsRowDxfId="45">
      <calculatedColumnFormula>IF(RUNC=A4,ALT,B4)</calculatedColumnFormula>
    </tableColumn>
    <tableColumn id="3" xr3:uid="{444BFA02-03B9-4D5F-8E76-A6EB6E7F018D}" name="Среднее время обслуживания" totalsRowFunction="average" dataDxfId="44" totalsRowDxfId="43">
      <calculatedColumnFormula>IF(RUNC=A4,AST,C4)</calculatedColumnFormula>
    </tableColumn>
    <tableColumn id="4" xr3:uid="{E747FB5F-ED5F-4F8B-8E7A-D15DE50122EC}" name="Количество потерянных заявок на обслуживание" totalsRowFunction="max" dataDxfId="42" totalsRowDxfId="41">
      <calculatedColumnFormula>IF(RUNC=A4,NLC,D4)</calculatedColumnFormula>
    </tableColumn>
    <tableColumn id="5" xr3:uid="{85A48D32-AB49-4EE4-8972-0BDF2F7E1637}" name="Коэффициент полезной загрузки сервера 1" totalsRowFunction="average" dataDxfId="40" totalsRowDxfId="39">
      <calculatedColumnFormula>IF(RUNC=A4,E1F,E4)</calculatedColumnFormula>
    </tableColumn>
    <tableColumn id="6" xr3:uid="{E4EB3CAD-7D82-4CED-B099-2C817D0D617C}" name="Коэффициент полезной загрузки сервера 2" totalsRowFunction="average" dataDxfId="38" totalsRowDxfId="37">
      <calculatedColumnFormula>IF(RUNC=A4,E2F,F4)</calculatedColumnFormula>
    </tableColumn>
    <tableColumn id="7" xr3:uid="{25DF0785-043E-4DD2-B880-32256CA77FEE}" name="Коэффициент полезной загрузки сервера 3" totalsRowFunction="average" dataDxfId="36" totalsRowDxfId="35">
      <calculatedColumnFormula>IF(RUNC=A4,E3F,G4)</calculatedColumnFormula>
    </tableColumn>
    <tableColumn id="8" xr3:uid="{58FA2D3C-A86F-45A1-A2E8-9354EEC642CF}" name="Максимальный размер очереди" totalsRowFunction="max" dataDxfId="34" totalsRowDxfId="33">
      <calculatedColumnFormula>IF(RUNC=A4,MXQ,H4)</calculatedColumnFormula>
    </tableColumn>
    <tableColumn id="9" xr3:uid="{BA6FD2E1-1059-4798-B006-17FC6BCEB97A}" name="Длительность обслуживания клиентов" totalsRowFunction="max" dataDxfId="32" totalsRowDxfId="31">
      <calculatedColumnFormula>IF(RUNC=A4,MAX(модель!$O$119:$T$119)-[0]!start,I4)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DD98A-B5F4-4E7E-84C0-2318A3777513}" name="Таблица1" displayName="Таблица1" ref="A26:I47" totalsRowCount="1" headerRowDxfId="30" dataDxfId="29" totalsRowDxfId="28">
  <autoFilter ref="A26:I46" xr:uid="{DB5A9474-0204-4414-A3BD-C89579EE0AE6}"/>
  <tableColumns count="9">
    <tableColumn id="1" xr3:uid="{DBBCF0F6-A436-48B4-8F71-FAC9B81A712A}" name="№ эксперимента" totalsRowLabel="Итог" dataDxfId="27" totalsRowDxfId="26"/>
    <tableColumn id="2" xr3:uid="{514280AD-5C5F-4D41-8445-8DAB95324220}" name="Среднее время пребывания в системе" totalsRowFunction="average" dataDxfId="25" totalsRowDxfId="24"/>
    <tableColumn id="3" xr3:uid="{6F610FF4-9A53-4742-BD5F-CA6D8E8213FC}" name="Среднее время обслуживания" totalsRowFunction="average" dataDxfId="23" totalsRowDxfId="22"/>
    <tableColumn id="4" xr3:uid="{3B70B0F1-052A-42CA-845E-60897741D4A1}" name="Количество потерянных заявок на обслуживание" totalsRowFunction="max" dataDxfId="21" totalsRowDxfId="20"/>
    <tableColumn id="5" xr3:uid="{8D659DE9-1AF9-4979-ACA9-DF8AA91F382F}" name="Коэффициент полезной загрузки сервера 1" totalsRowFunction="average" dataDxfId="19" totalsRowDxfId="18"/>
    <tableColumn id="6" xr3:uid="{55F5328E-28CE-4FE9-8A15-8D121D563819}" name="Коэффициент полезной загрузки сервера 2" totalsRowFunction="average" dataDxfId="17" totalsRowDxfId="16"/>
    <tableColumn id="7" xr3:uid="{80B33455-AA7B-45ED-AFBA-E1A7147BFE3E}" name="Коэффициент полезной загрузки сервера 3" totalsRowFunction="average" dataDxfId="15" totalsRowDxfId="14"/>
    <tableColumn id="8" xr3:uid="{B7D35073-CB32-4F6E-9C68-80086A627A42}" name="Максимальный размер очереди" totalsRowFunction="min" dataDxfId="13" totalsRowDxfId="12"/>
    <tableColumn id="9" xr3:uid="{C5DAD536-F027-4B1A-BF34-EA7953E80EC9}" name="Длительность обслуживания клиентов" totalsRowFunction="max" dataDxfId="11" totalsRowDxfId="1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opLeftCell="A31" workbookViewId="0">
      <selection activeCell="B100" sqref="B100"/>
    </sheetView>
  </sheetViews>
  <sheetFormatPr defaultRowHeight="14.5" x14ac:dyDescent="0.35"/>
  <cols>
    <col min="4" max="4" width="12.36328125" customWidth="1"/>
    <col min="5" max="5" width="9.36328125" customWidth="1"/>
    <col min="10" max="12" width="10.7265625" bestFit="1" customWidth="1"/>
    <col min="15" max="20" width="6.7265625" customWidth="1"/>
    <col min="25" max="25" width="8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B2" s="2" t="s">
        <v>2</v>
      </c>
    </row>
    <row r="3" spans="1:10" x14ac:dyDescent="0.35">
      <c r="A3" s="3" t="s">
        <v>3</v>
      </c>
      <c r="B3" t="s">
        <v>4</v>
      </c>
    </row>
    <row r="4" spans="1:10" ht="15" thickBot="1" x14ac:dyDescent="0.4">
      <c r="A4" s="4" t="s">
        <v>5</v>
      </c>
      <c r="B4" s="5"/>
      <c r="C4" s="6" t="s">
        <v>6</v>
      </c>
      <c r="D4" s="7"/>
      <c r="E4" s="8" t="s">
        <v>7</v>
      </c>
      <c r="F4" s="9"/>
      <c r="G4" s="10"/>
      <c r="I4" s="2" t="s">
        <v>166</v>
      </c>
    </row>
    <row r="5" spans="1:10" x14ac:dyDescent="0.35">
      <c r="A5" s="11">
        <v>0.375</v>
      </c>
      <c r="B5" s="12"/>
      <c r="C5" s="13">
        <v>0.45833333333333331</v>
      </c>
      <c r="D5" s="14"/>
      <c r="E5" s="15">
        <v>2</v>
      </c>
      <c r="F5" s="16" t="s">
        <v>8</v>
      </c>
      <c r="G5" s="17"/>
      <c r="I5" s="88" t="s">
        <v>167</v>
      </c>
      <c r="J5" s="2" t="s">
        <v>168</v>
      </c>
    </row>
    <row r="6" spans="1:10" x14ac:dyDescent="0.35">
      <c r="A6" s="18" t="s">
        <v>9</v>
      </c>
      <c r="B6" s="18"/>
      <c r="C6" s="18" t="s">
        <v>10</v>
      </c>
      <c r="D6" s="18"/>
      <c r="E6" s="18" t="s">
        <v>11</v>
      </c>
      <c r="G6" t="s">
        <v>165</v>
      </c>
    </row>
    <row r="7" spans="1:10" x14ac:dyDescent="0.35">
      <c r="B7" s="101" t="s">
        <v>12</v>
      </c>
      <c r="C7" s="19"/>
      <c r="D7" s="19"/>
      <c r="E7" s="19"/>
      <c r="F7" s="20" t="s">
        <v>159</v>
      </c>
      <c r="G7" s="19" t="s">
        <v>160</v>
      </c>
      <c r="H7" s="19"/>
      <c r="I7" s="19"/>
      <c r="J7" s="3"/>
    </row>
    <row r="8" spans="1:10" x14ac:dyDescent="0.35">
      <c r="B8" s="20" t="s">
        <v>13</v>
      </c>
      <c r="C8" s="19" t="s">
        <v>14</v>
      </c>
      <c r="D8" s="19"/>
      <c r="E8" s="19"/>
      <c r="F8" s="20" t="s">
        <v>161</v>
      </c>
      <c r="G8" s="19" t="s">
        <v>162</v>
      </c>
      <c r="H8" s="19"/>
      <c r="I8" s="19"/>
      <c r="J8" s="21"/>
    </row>
    <row r="9" spans="1:10" x14ac:dyDescent="0.35">
      <c r="A9" s="21"/>
      <c r="B9" s="20" t="s">
        <v>15</v>
      </c>
      <c r="C9" s="19" t="s">
        <v>16</v>
      </c>
      <c r="D9" s="19"/>
      <c r="E9" s="19"/>
      <c r="F9" s="20" t="s">
        <v>163</v>
      </c>
      <c r="G9" s="19" t="s">
        <v>164</v>
      </c>
      <c r="H9" s="19"/>
      <c r="I9" s="19"/>
      <c r="J9" s="21"/>
    </row>
    <row r="10" spans="1:10" ht="15" thickBot="1" x14ac:dyDescent="0.4">
      <c r="A10" s="3" t="s">
        <v>17</v>
      </c>
      <c r="B10" t="s">
        <v>18</v>
      </c>
      <c r="J10" s="21"/>
    </row>
    <row r="11" spans="1:10" x14ac:dyDescent="0.35">
      <c r="A11" s="152" t="s">
        <v>19</v>
      </c>
      <c r="B11" s="22" t="s">
        <v>20</v>
      </c>
      <c r="C11" s="22" t="s">
        <v>21</v>
      </c>
      <c r="D11" s="23" t="s">
        <v>22</v>
      </c>
      <c r="J11" s="21"/>
    </row>
    <row r="12" spans="1:10" x14ac:dyDescent="0.35">
      <c r="A12" s="153"/>
      <c r="B12" s="24" t="s">
        <v>23</v>
      </c>
      <c r="C12" s="24" t="s">
        <v>23</v>
      </c>
      <c r="D12" s="25" t="s">
        <v>24</v>
      </c>
      <c r="J12" s="21"/>
    </row>
    <row r="13" spans="1:10" ht="15" thickBot="1" x14ac:dyDescent="0.4">
      <c r="A13" s="154"/>
      <c r="B13" s="26"/>
      <c r="C13" s="26"/>
      <c r="D13" s="27" t="s">
        <v>25</v>
      </c>
      <c r="J13" s="21"/>
    </row>
    <row r="14" spans="1:10" x14ac:dyDescent="0.35">
      <c r="A14" s="28">
        <v>0.45</v>
      </c>
      <c r="B14" s="89">
        <v>0</v>
      </c>
      <c r="C14" s="90">
        <f>B14+A14</f>
        <v>0.45</v>
      </c>
      <c r="D14" s="91">
        <v>1</v>
      </c>
      <c r="J14" s="21"/>
    </row>
    <row r="15" spans="1:10" x14ac:dyDescent="0.35">
      <c r="A15" s="28">
        <v>0.25</v>
      </c>
      <c r="B15" s="89">
        <f>C14</f>
        <v>0.45</v>
      </c>
      <c r="C15" s="90">
        <f>B15+A15</f>
        <v>0.7</v>
      </c>
      <c r="D15" s="91">
        <v>3</v>
      </c>
      <c r="J15" s="21"/>
    </row>
    <row r="16" spans="1:10" x14ac:dyDescent="0.35">
      <c r="A16" s="28">
        <v>0.1</v>
      </c>
      <c r="B16" s="89">
        <f>C15</f>
        <v>0.7</v>
      </c>
      <c r="C16" s="90">
        <f>B16+A16</f>
        <v>0.79999999999999993</v>
      </c>
      <c r="D16" s="91">
        <v>5</v>
      </c>
    </row>
    <row r="17" spans="1:26" ht="15" thickBot="1" x14ac:dyDescent="0.4">
      <c r="A17" s="31">
        <v>0.2</v>
      </c>
      <c r="B17" s="92">
        <f>C16</f>
        <v>0.79999999999999993</v>
      </c>
      <c r="C17" s="93">
        <f>B17+A17</f>
        <v>1</v>
      </c>
      <c r="D17" s="94">
        <v>10</v>
      </c>
    </row>
    <row r="18" spans="1:26" ht="15" thickBot="1" x14ac:dyDescent="0.4">
      <c r="A18" s="3" t="s">
        <v>26</v>
      </c>
      <c r="B18" t="s">
        <v>27</v>
      </c>
      <c r="C18" s="30"/>
      <c r="D18" s="29"/>
    </row>
    <row r="19" spans="1:26" x14ac:dyDescent="0.35">
      <c r="A19" s="152" t="s">
        <v>19</v>
      </c>
      <c r="B19" s="22" t="s">
        <v>20</v>
      </c>
      <c r="C19" s="22" t="s">
        <v>21</v>
      </c>
      <c r="D19" s="23" t="s">
        <v>22</v>
      </c>
    </row>
    <row r="20" spans="1:26" x14ac:dyDescent="0.35">
      <c r="A20" s="155"/>
      <c r="B20" s="24" t="s">
        <v>23</v>
      </c>
      <c r="C20" s="24" t="s">
        <v>23</v>
      </c>
      <c r="D20" s="25" t="s">
        <v>28</v>
      </c>
    </row>
    <row r="21" spans="1:26" ht="15" thickBot="1" x14ac:dyDescent="0.4">
      <c r="A21" s="156"/>
      <c r="B21" s="26"/>
      <c r="C21" s="26"/>
      <c r="D21" s="27" t="s">
        <v>25</v>
      </c>
    </row>
    <row r="22" spans="1:26" x14ac:dyDescent="0.35">
      <c r="A22" s="28">
        <v>0.3</v>
      </c>
      <c r="B22" s="95">
        <v>0</v>
      </c>
      <c r="C22" s="96">
        <f>B22+A22</f>
        <v>0.3</v>
      </c>
      <c r="D22" s="97">
        <v>3</v>
      </c>
    </row>
    <row r="23" spans="1:26" x14ac:dyDescent="0.35">
      <c r="A23" s="28">
        <v>0.35</v>
      </c>
      <c r="B23" s="95">
        <f>C22</f>
        <v>0.3</v>
      </c>
      <c r="C23" s="96">
        <f>B23+A23</f>
        <v>0.64999999999999991</v>
      </c>
      <c r="D23" s="97">
        <v>7</v>
      </c>
    </row>
    <row r="24" spans="1:26" ht="15" thickBot="1" x14ac:dyDescent="0.4">
      <c r="A24" s="31">
        <v>0.35</v>
      </c>
      <c r="B24" s="98">
        <f>C23</f>
        <v>0.64999999999999991</v>
      </c>
      <c r="C24" s="99">
        <f>B24+A24</f>
        <v>0.99999999999999989</v>
      </c>
      <c r="D24" s="100">
        <v>8</v>
      </c>
    </row>
    <row r="25" spans="1:26" x14ac:dyDescent="0.35">
      <c r="A25" s="1" t="s">
        <v>29</v>
      </c>
      <c r="B25" t="s">
        <v>30</v>
      </c>
    </row>
    <row r="26" spans="1:26" x14ac:dyDescent="0.35">
      <c r="A26" s="32"/>
      <c r="B26" s="33" t="s">
        <v>31</v>
      </c>
      <c r="C26" s="34"/>
      <c r="D26" s="35" t="s">
        <v>32</v>
      </c>
      <c r="E26" s="78"/>
      <c r="F26" s="36" t="s">
        <v>33</v>
      </c>
      <c r="G26" s="37" t="s">
        <v>34</v>
      </c>
      <c r="H26" s="38"/>
      <c r="I26" s="39" t="s">
        <v>31</v>
      </c>
      <c r="J26" s="71" t="s">
        <v>35</v>
      </c>
      <c r="K26" s="71" t="s">
        <v>36</v>
      </c>
      <c r="L26" s="71" t="s">
        <v>37</v>
      </c>
      <c r="M26" s="40" t="s">
        <v>38</v>
      </c>
      <c r="N26" s="41"/>
      <c r="O26" s="74"/>
      <c r="P26" s="74"/>
      <c r="Q26" s="74"/>
      <c r="R26" s="74"/>
      <c r="S26" s="74"/>
      <c r="T26" s="74"/>
      <c r="U26" s="42"/>
      <c r="V26" s="43"/>
      <c r="W26" s="44"/>
      <c r="X26" s="45" t="s">
        <v>31</v>
      </c>
      <c r="Y26" s="46" t="s">
        <v>39</v>
      </c>
      <c r="Z26" s="47" t="s">
        <v>40</v>
      </c>
    </row>
    <row r="27" spans="1:26" x14ac:dyDescent="0.35">
      <c r="A27" s="81" t="s">
        <v>41</v>
      </c>
      <c r="B27" s="33" t="s">
        <v>24</v>
      </c>
      <c r="C27" s="48" t="s">
        <v>22</v>
      </c>
      <c r="D27" s="35" t="s">
        <v>42</v>
      </c>
      <c r="E27" s="79" t="s">
        <v>22</v>
      </c>
      <c r="F27" s="49" t="s">
        <v>43</v>
      </c>
      <c r="G27" s="50" t="s">
        <v>43</v>
      </c>
      <c r="H27" s="51" t="s">
        <v>44</v>
      </c>
      <c r="I27" s="52" t="s">
        <v>45</v>
      </c>
      <c r="J27" s="72" t="s">
        <v>46</v>
      </c>
      <c r="K27" s="72" t="s">
        <v>46</v>
      </c>
      <c r="L27" s="72" t="s">
        <v>46</v>
      </c>
      <c r="M27" s="40" t="s">
        <v>31</v>
      </c>
      <c r="N27" s="41" t="s">
        <v>47</v>
      </c>
      <c r="O27" s="75" t="s">
        <v>48</v>
      </c>
      <c r="P27" s="75"/>
      <c r="Q27" s="75" t="s">
        <v>49</v>
      </c>
      <c r="R27" s="75"/>
      <c r="S27" s="75" t="s">
        <v>50</v>
      </c>
      <c r="T27" s="75"/>
      <c r="U27" s="85" t="s">
        <v>51</v>
      </c>
      <c r="V27" s="86" t="s">
        <v>51</v>
      </c>
      <c r="W27" s="49" t="s">
        <v>52</v>
      </c>
      <c r="X27" s="53" t="s">
        <v>53</v>
      </c>
      <c r="Y27" s="54" t="s">
        <v>31</v>
      </c>
      <c r="Z27" s="55" t="s">
        <v>54</v>
      </c>
    </row>
    <row r="28" spans="1:26" x14ac:dyDescent="0.35">
      <c r="A28" s="82" t="s">
        <v>55</v>
      </c>
      <c r="B28" s="33" t="s">
        <v>56</v>
      </c>
      <c r="C28" s="48" t="s">
        <v>57</v>
      </c>
      <c r="D28" s="35" t="s">
        <v>58</v>
      </c>
      <c r="E28" s="79" t="s">
        <v>53</v>
      </c>
      <c r="F28" s="49" t="s">
        <v>24</v>
      </c>
      <c r="G28" s="50" t="s">
        <v>59</v>
      </c>
      <c r="H28" s="51" t="s">
        <v>60</v>
      </c>
      <c r="I28" s="52" t="s">
        <v>54</v>
      </c>
      <c r="J28" s="72" t="s">
        <v>42</v>
      </c>
      <c r="K28" s="72" t="s">
        <v>42</v>
      </c>
      <c r="L28" s="72" t="s">
        <v>42</v>
      </c>
      <c r="M28" s="40" t="s">
        <v>61</v>
      </c>
      <c r="N28" s="41" t="s">
        <v>62</v>
      </c>
      <c r="O28" s="76" t="s">
        <v>63</v>
      </c>
      <c r="P28" s="76" t="s">
        <v>64</v>
      </c>
      <c r="Q28" s="76" t="s">
        <v>63</v>
      </c>
      <c r="R28" s="76" t="s">
        <v>64</v>
      </c>
      <c r="S28" s="76" t="s">
        <v>63</v>
      </c>
      <c r="T28" s="76" t="s">
        <v>64</v>
      </c>
      <c r="U28" s="84" t="s">
        <v>54</v>
      </c>
      <c r="V28" s="83" t="s">
        <v>122</v>
      </c>
      <c r="W28" s="49" t="s">
        <v>65</v>
      </c>
      <c r="X28" s="53" t="s">
        <v>66</v>
      </c>
      <c r="Y28" s="54" t="s">
        <v>67</v>
      </c>
      <c r="Z28" s="56" t="s">
        <v>68</v>
      </c>
    </row>
    <row r="29" spans="1:26" ht="15" thickBot="1" x14ac:dyDescent="0.4">
      <c r="A29" s="57"/>
      <c r="B29" s="33" t="s">
        <v>25</v>
      </c>
      <c r="C29" s="58" t="s">
        <v>69</v>
      </c>
      <c r="D29" s="35" t="s">
        <v>25</v>
      </c>
      <c r="E29" s="80" t="s">
        <v>66</v>
      </c>
      <c r="F29" s="59" t="s">
        <v>70</v>
      </c>
      <c r="G29" s="60" t="s">
        <v>70</v>
      </c>
      <c r="H29" s="61" t="s">
        <v>71</v>
      </c>
      <c r="I29" s="62" t="s">
        <v>70</v>
      </c>
      <c r="J29" s="73" t="s">
        <v>70</v>
      </c>
      <c r="K29" s="73" t="s">
        <v>70</v>
      </c>
      <c r="L29" s="73" t="s">
        <v>70</v>
      </c>
      <c r="M29" s="63" t="s">
        <v>70</v>
      </c>
      <c r="N29" s="41"/>
      <c r="O29" s="77" t="s">
        <v>70</v>
      </c>
      <c r="P29" s="77" t="s">
        <v>70</v>
      </c>
      <c r="Q29" s="77" t="s">
        <v>70</v>
      </c>
      <c r="R29" s="77" t="s">
        <v>70</v>
      </c>
      <c r="S29" s="77" t="s">
        <v>70</v>
      </c>
      <c r="T29" s="77" t="s">
        <v>70</v>
      </c>
      <c r="U29" s="64" t="s">
        <v>70</v>
      </c>
      <c r="V29" s="65" t="s">
        <v>70</v>
      </c>
      <c r="W29" s="59" t="s">
        <v>70</v>
      </c>
      <c r="X29" s="66" t="s">
        <v>72</v>
      </c>
      <c r="Y29" s="67"/>
      <c r="Z29" s="68" t="s">
        <v>73</v>
      </c>
    </row>
    <row r="30" spans="1:26" x14ac:dyDescent="0.35">
      <c r="A30" s="102" t="s">
        <v>74</v>
      </c>
      <c r="B30" t="s">
        <v>169</v>
      </c>
    </row>
    <row r="31" spans="1:26" x14ac:dyDescent="0.35">
      <c r="B31" t="s">
        <v>75</v>
      </c>
    </row>
    <row r="32" spans="1:26" x14ac:dyDescent="0.35">
      <c r="B32" t="s">
        <v>76</v>
      </c>
    </row>
    <row r="33" spans="1:2" x14ac:dyDescent="0.35">
      <c r="A33" s="1"/>
      <c r="B33" t="s">
        <v>170</v>
      </c>
    </row>
    <row r="34" spans="1:2" x14ac:dyDescent="0.35">
      <c r="B34" t="s">
        <v>78</v>
      </c>
    </row>
    <row r="35" spans="1:2" x14ac:dyDescent="0.35">
      <c r="A35" s="102" t="s">
        <v>179</v>
      </c>
      <c r="B35" t="s">
        <v>127</v>
      </c>
    </row>
    <row r="36" spans="1:2" x14ac:dyDescent="0.35">
      <c r="B36" t="s">
        <v>80</v>
      </c>
    </row>
    <row r="37" spans="1:2" x14ac:dyDescent="0.35">
      <c r="A37" s="102" t="s">
        <v>77</v>
      </c>
      <c r="B37" t="s">
        <v>171</v>
      </c>
    </row>
    <row r="38" spans="1:2" x14ac:dyDescent="0.35">
      <c r="B38" t="s">
        <v>82</v>
      </c>
    </row>
    <row r="39" spans="1:2" x14ac:dyDescent="0.35">
      <c r="A39" s="102" t="s">
        <v>79</v>
      </c>
      <c r="B39" t="s">
        <v>128</v>
      </c>
    </row>
    <row r="40" spans="1:2" x14ac:dyDescent="0.35">
      <c r="B40" t="s">
        <v>84</v>
      </c>
    </row>
    <row r="41" spans="1:2" x14ac:dyDescent="0.35">
      <c r="A41" s="102" t="s">
        <v>81</v>
      </c>
      <c r="B41" t="s">
        <v>172</v>
      </c>
    </row>
    <row r="42" spans="1:2" x14ac:dyDescent="0.35">
      <c r="B42" t="s">
        <v>86</v>
      </c>
    </row>
    <row r="43" spans="1:2" x14ac:dyDescent="0.35">
      <c r="A43" s="102" t="s">
        <v>83</v>
      </c>
      <c r="B43" t="s">
        <v>88</v>
      </c>
    </row>
    <row r="44" spans="1:2" x14ac:dyDescent="0.35">
      <c r="B44" t="s">
        <v>89</v>
      </c>
    </row>
    <row r="45" spans="1:2" x14ac:dyDescent="0.35">
      <c r="A45" s="102" t="s">
        <v>85</v>
      </c>
      <c r="B45" t="s">
        <v>129</v>
      </c>
    </row>
    <row r="46" spans="1:2" x14ac:dyDescent="0.35">
      <c r="B46" t="s">
        <v>91</v>
      </c>
    </row>
    <row r="47" spans="1:2" x14ac:dyDescent="0.35">
      <c r="A47" s="102" t="s">
        <v>87</v>
      </c>
      <c r="B47" t="s">
        <v>130</v>
      </c>
    </row>
    <row r="48" spans="1:2" x14ac:dyDescent="0.35">
      <c r="B48" t="s">
        <v>93</v>
      </c>
    </row>
    <row r="49" spans="1:2" x14ac:dyDescent="0.35">
      <c r="A49" s="102" t="s">
        <v>90</v>
      </c>
      <c r="B49" t="s">
        <v>180</v>
      </c>
    </row>
    <row r="50" spans="1:2" x14ac:dyDescent="0.35">
      <c r="B50" t="s">
        <v>181</v>
      </c>
    </row>
    <row r="51" spans="1:2" x14ac:dyDescent="0.35">
      <c r="A51" s="102" t="s">
        <v>92</v>
      </c>
      <c r="B51" t="s">
        <v>131</v>
      </c>
    </row>
    <row r="52" spans="1:2" x14ac:dyDescent="0.35">
      <c r="B52" t="s">
        <v>96</v>
      </c>
    </row>
    <row r="53" spans="1:2" x14ac:dyDescent="0.35">
      <c r="A53" s="102" t="s">
        <v>94</v>
      </c>
      <c r="B53" t="s">
        <v>98</v>
      </c>
    </row>
    <row r="54" spans="1:2" x14ac:dyDescent="0.35">
      <c r="A54" s="1"/>
      <c r="B54" t="s">
        <v>99</v>
      </c>
    </row>
    <row r="55" spans="1:2" x14ac:dyDescent="0.35">
      <c r="B55" t="s">
        <v>132</v>
      </c>
    </row>
    <row r="56" spans="1:2" x14ac:dyDescent="0.35">
      <c r="A56" s="1"/>
      <c r="B56" t="s">
        <v>101</v>
      </c>
    </row>
    <row r="57" spans="1:2" x14ac:dyDescent="0.35">
      <c r="A57" s="102" t="s">
        <v>95</v>
      </c>
      <c r="B57" t="s">
        <v>103</v>
      </c>
    </row>
    <row r="58" spans="1:2" x14ac:dyDescent="0.35">
      <c r="B58" t="s">
        <v>104</v>
      </c>
    </row>
    <row r="59" spans="1:2" x14ac:dyDescent="0.35">
      <c r="B59" t="s">
        <v>133</v>
      </c>
    </row>
    <row r="60" spans="1:2" x14ac:dyDescent="0.35">
      <c r="B60" t="s">
        <v>105</v>
      </c>
    </row>
    <row r="61" spans="1:2" x14ac:dyDescent="0.35">
      <c r="A61" s="102" t="s">
        <v>97</v>
      </c>
      <c r="B61" t="s">
        <v>106</v>
      </c>
    </row>
    <row r="62" spans="1:2" x14ac:dyDescent="0.35">
      <c r="B62" t="s">
        <v>107</v>
      </c>
    </row>
    <row r="63" spans="1:2" x14ac:dyDescent="0.35">
      <c r="A63" s="1"/>
      <c r="B63" t="s">
        <v>134</v>
      </c>
    </row>
    <row r="64" spans="1:2" x14ac:dyDescent="0.35">
      <c r="B64" t="s">
        <v>108</v>
      </c>
    </row>
    <row r="65" spans="1:26" x14ac:dyDescent="0.35">
      <c r="A65" s="102" t="s">
        <v>100</v>
      </c>
      <c r="B65" t="s">
        <v>135</v>
      </c>
    </row>
    <row r="66" spans="1:26" x14ac:dyDescent="0.35">
      <c r="B66" t="s">
        <v>109</v>
      </c>
    </row>
    <row r="67" spans="1:26" x14ac:dyDescent="0.35">
      <c r="A67" s="102" t="s">
        <v>102</v>
      </c>
      <c r="B67" t="s">
        <v>136</v>
      </c>
    </row>
    <row r="68" spans="1:26" x14ac:dyDescent="0.35">
      <c r="B68" t="s">
        <v>110</v>
      </c>
    </row>
    <row r="69" spans="1:26" x14ac:dyDescent="0.35">
      <c r="A69" s="102" t="s">
        <v>185</v>
      </c>
      <c r="B69" t="s">
        <v>137</v>
      </c>
    </row>
    <row r="70" spans="1:26" x14ac:dyDescent="0.35">
      <c r="B70" t="s">
        <v>111</v>
      </c>
    </row>
    <row r="71" spans="1:26" x14ac:dyDescent="0.35">
      <c r="A71" s="102" t="s">
        <v>186</v>
      </c>
      <c r="B71" t="s">
        <v>138</v>
      </c>
    </row>
    <row r="72" spans="1:26" x14ac:dyDescent="0.35">
      <c r="B72" t="s">
        <v>112</v>
      </c>
    </row>
    <row r="73" spans="1:26" x14ac:dyDescent="0.35">
      <c r="A73" s="102" t="s">
        <v>187</v>
      </c>
      <c r="B73" t="s">
        <v>139</v>
      </c>
    </row>
    <row r="74" spans="1:26" x14ac:dyDescent="0.35">
      <c r="B74" t="s">
        <v>113</v>
      </c>
    </row>
    <row r="75" spans="1:26" x14ac:dyDescent="0.35">
      <c r="A75" s="102" t="s">
        <v>188</v>
      </c>
      <c r="B75" t="s">
        <v>140</v>
      </c>
    </row>
    <row r="76" spans="1:26" x14ac:dyDescent="0.35">
      <c r="B76" t="s">
        <v>114</v>
      </c>
    </row>
    <row r="77" spans="1:26" x14ac:dyDescent="0.35">
      <c r="A77" s="102" t="s">
        <v>189</v>
      </c>
      <c r="B77" t="s">
        <v>141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x14ac:dyDescent="0.35">
      <c r="A78" s="69" t="str">
        <f t="shared" ref="A78" si="0">IF($N78=3,#REF!,"")</f>
        <v/>
      </c>
      <c r="B78" t="s">
        <v>115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x14ac:dyDescent="0.35">
      <c r="A79" s="102" t="s">
        <v>190</v>
      </c>
      <c r="B79" t="s">
        <v>142</v>
      </c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x14ac:dyDescent="0.35">
      <c r="A80" s="69"/>
      <c r="B80" t="s">
        <v>116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x14ac:dyDescent="0.35">
      <c r="A81" s="102" t="s">
        <v>191</v>
      </c>
      <c r="B81" t="s">
        <v>143</v>
      </c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x14ac:dyDescent="0.35">
      <c r="A82" s="69"/>
      <c r="B82" t="s">
        <v>121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x14ac:dyDescent="0.35">
      <c r="A83" s="102" t="s">
        <v>192</v>
      </c>
      <c r="B83" t="s">
        <v>144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x14ac:dyDescent="0.35">
      <c r="A84" s="69"/>
      <c r="B84" t="s">
        <v>123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x14ac:dyDescent="0.35">
      <c r="A85" s="102" t="s">
        <v>193</v>
      </c>
      <c r="B85" t="s">
        <v>145</v>
      </c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x14ac:dyDescent="0.35">
      <c r="A86" s="69"/>
      <c r="B86" t="s">
        <v>124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x14ac:dyDescent="0.35">
      <c r="A87" s="102" t="s">
        <v>194</v>
      </c>
      <c r="B87" t="s">
        <v>146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x14ac:dyDescent="0.35">
      <c r="A88" s="69"/>
      <c r="B88" t="s">
        <v>125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x14ac:dyDescent="0.35">
      <c r="A89" s="102" t="s">
        <v>195</v>
      </c>
      <c r="B89" t="s">
        <v>147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x14ac:dyDescent="0.35">
      <c r="A90" s="69"/>
      <c r="B90" t="s">
        <v>126</v>
      </c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x14ac:dyDescent="0.35">
      <c r="A91" s="102" t="s">
        <v>196</v>
      </c>
      <c r="B91" t="s">
        <v>148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x14ac:dyDescent="0.35">
      <c r="A92" s="69"/>
      <c r="B92" t="s">
        <v>120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x14ac:dyDescent="0.35">
      <c r="A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x14ac:dyDescent="0.35">
      <c r="A94" s="102" t="s">
        <v>197</v>
      </c>
      <c r="B94" t="s">
        <v>117</v>
      </c>
      <c r="G94" s="87" t="s">
        <v>150</v>
      </c>
      <c r="I94" t="s">
        <v>152</v>
      </c>
      <c r="J94" s="70"/>
    </row>
    <row r="95" spans="1:26" x14ac:dyDescent="0.35">
      <c r="B95" t="s">
        <v>149</v>
      </c>
      <c r="G95" s="87" t="s">
        <v>151</v>
      </c>
      <c r="I95" t="s">
        <v>153</v>
      </c>
    </row>
    <row r="96" spans="1:26" x14ac:dyDescent="0.35">
      <c r="B96" t="s">
        <v>154</v>
      </c>
      <c r="I96" t="s">
        <v>158</v>
      </c>
    </row>
    <row r="97" spans="1:9" x14ac:dyDescent="0.35">
      <c r="B97" t="s">
        <v>155</v>
      </c>
      <c r="G97" s="87" t="s">
        <v>156</v>
      </c>
      <c r="I97" t="s">
        <v>157</v>
      </c>
    </row>
    <row r="98" spans="1:9" x14ac:dyDescent="0.35">
      <c r="B98" t="s">
        <v>175</v>
      </c>
      <c r="G98" s="87" t="s">
        <v>176</v>
      </c>
    </row>
    <row r="99" spans="1:9" x14ac:dyDescent="0.35">
      <c r="A99" s="102" t="s">
        <v>198</v>
      </c>
      <c r="B99" t="s">
        <v>174</v>
      </c>
    </row>
    <row r="100" spans="1:9" x14ac:dyDescent="0.35">
      <c r="A100" s="102" t="s">
        <v>199</v>
      </c>
      <c r="B100" t="s">
        <v>178</v>
      </c>
    </row>
    <row r="101" spans="1:9" x14ac:dyDescent="0.35">
      <c r="B101" t="s">
        <v>177</v>
      </c>
    </row>
    <row r="102" spans="1:9" x14ac:dyDescent="0.35">
      <c r="A102" s="102" t="s">
        <v>200</v>
      </c>
      <c r="B102" t="s">
        <v>182</v>
      </c>
    </row>
    <row r="103" spans="1:9" x14ac:dyDescent="0.35">
      <c r="A103" s="102" t="s">
        <v>201</v>
      </c>
      <c r="B103" t="s">
        <v>183</v>
      </c>
    </row>
    <row r="104" spans="1:9" x14ac:dyDescent="0.35">
      <c r="A104" s="102" t="s">
        <v>202</v>
      </c>
      <c r="B104" t="s">
        <v>118</v>
      </c>
    </row>
    <row r="105" spans="1:9" x14ac:dyDescent="0.35">
      <c r="A105" s="102"/>
      <c r="B105" t="s">
        <v>119</v>
      </c>
    </row>
    <row r="106" spans="1:9" x14ac:dyDescent="0.35">
      <c r="B106" s="2" t="s">
        <v>173</v>
      </c>
    </row>
    <row r="107" spans="1:9" x14ac:dyDescent="0.35">
      <c r="A107" s="102" t="s">
        <v>203</v>
      </c>
      <c r="B107" t="s">
        <v>184</v>
      </c>
    </row>
    <row r="108" spans="1:9" x14ac:dyDescent="0.35">
      <c r="A108" s="1"/>
    </row>
  </sheetData>
  <sheetProtection sheet="1" objects="1" scenarios="1"/>
  <mergeCells count="2">
    <mergeCell ref="A11:A13"/>
    <mergeCell ref="A19:A21"/>
  </mergeCells>
  <pageMargins left="0.7" right="0.7" top="0.75" bottom="0.75" header="0.3" footer="0.3"/>
  <pageSetup paperSize="9" orientation="portrait" r:id="rId1"/>
  <ignoredErrors>
    <ignoredError sqref="B15:B17 B23:B2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9DF4-E1AC-4D69-B0C7-7E1F6F13B222}">
  <dimension ref="A1:Z120"/>
  <sheetViews>
    <sheetView topLeftCell="A100" zoomScale="54" zoomScaleNormal="70" workbookViewId="0">
      <selection activeCell="W20" sqref="W20"/>
    </sheetView>
  </sheetViews>
  <sheetFormatPr defaultRowHeight="14.5" x14ac:dyDescent="0.35"/>
  <cols>
    <col min="1" max="1" width="12.81640625" customWidth="1"/>
    <col min="2" max="2" width="12.36328125" customWidth="1"/>
    <col min="3" max="3" width="11.54296875" customWidth="1"/>
    <col min="4" max="4" width="16.81640625" customWidth="1"/>
    <col min="5" max="5" width="16" customWidth="1"/>
    <col min="6" max="6" width="14" customWidth="1"/>
    <col min="7" max="7" width="11.7265625" customWidth="1"/>
    <col min="8" max="8" width="10.54296875" customWidth="1"/>
    <col min="9" max="9" width="12.81640625" customWidth="1"/>
    <col min="10" max="10" width="15.81640625" customWidth="1"/>
    <col min="11" max="11" width="15.54296875" customWidth="1"/>
    <col min="12" max="12" width="15.26953125" customWidth="1"/>
    <col min="13" max="13" width="12.81640625" customWidth="1"/>
    <col min="14" max="14" width="11" customWidth="1"/>
    <col min="21" max="21" width="10.26953125" customWidth="1"/>
    <col min="22" max="22" width="10.54296875" customWidth="1"/>
    <col min="23" max="24" width="15.7265625" customWidth="1"/>
    <col min="25" max="25" width="14.7265625" customWidth="1"/>
    <col min="26" max="26" width="16.1796875" customWidth="1"/>
  </cols>
  <sheetData>
    <row r="1" spans="1:26" ht="44" thickBot="1" x14ac:dyDescent="0.4">
      <c r="A1" s="103"/>
      <c r="B1" s="104" t="s">
        <v>2</v>
      </c>
      <c r="C1" s="103"/>
      <c r="D1" s="103"/>
      <c r="E1" s="103"/>
      <c r="F1" s="103"/>
      <c r="G1" s="103"/>
      <c r="J1" s="134" t="s">
        <v>205</v>
      </c>
      <c r="K1" s="119">
        <f ca="1">SUM(W20:W119)/MAX(A20:A119)</f>
        <v>4.3749999999999848E-3</v>
      </c>
      <c r="L1" s="134" t="s">
        <v>208</v>
      </c>
      <c r="M1" s="118">
        <f ca="1">COUNTIF(H20:H119,"Ушел")</f>
        <v>6</v>
      </c>
    </row>
    <row r="2" spans="1:26" ht="44" thickBot="1" x14ac:dyDescent="0.4">
      <c r="A2" s="107" t="s">
        <v>5</v>
      </c>
      <c r="B2" s="108"/>
      <c r="C2" s="109" t="s">
        <v>6</v>
      </c>
      <c r="D2" s="110"/>
      <c r="E2" s="157" t="s">
        <v>204</v>
      </c>
      <c r="F2" s="157"/>
      <c r="G2" s="158"/>
      <c r="J2" s="134" t="s">
        <v>206</v>
      </c>
      <c r="K2" s="119">
        <f ca="1">SUMIF(N20:N119,"&gt;0",X20:X119)/MAX(A20:A119)</f>
        <v>4.2916666666666615E-3</v>
      </c>
      <c r="L2" s="134" t="s">
        <v>207</v>
      </c>
      <c r="M2" s="121">
        <f ca="1">COUNTIF(H20:H119,"ушел")/MAX(A20:A119)</f>
        <v>0.06</v>
      </c>
    </row>
    <row r="3" spans="1:26" ht="30.5" customHeight="1" thickBot="1" x14ac:dyDescent="0.4">
      <c r="A3" s="123">
        <v>0.375</v>
      </c>
      <c r="B3" s="111"/>
      <c r="C3" s="123">
        <v>0.75</v>
      </c>
      <c r="D3" s="112"/>
      <c r="E3" s="124">
        <v>2</v>
      </c>
      <c r="F3" s="113"/>
      <c r="G3" s="114"/>
      <c r="J3" s="134" t="s">
        <v>209</v>
      </c>
      <c r="K3" s="120">
        <f ca="1">MAX(Z20:Z119)</f>
        <v>0</v>
      </c>
      <c r="L3" s="134" t="s">
        <v>210</v>
      </c>
      <c r="M3" s="135">
        <f ca="1">SUMIF(N20:N119,1,X20:X119)/(closed-start)</f>
        <v>0.48888888888888893</v>
      </c>
      <c r="N3" s="136">
        <f ca="1">100%-M3</f>
        <v>0.51111111111111107</v>
      </c>
    </row>
    <row r="4" spans="1:26" ht="31.75" customHeight="1" x14ac:dyDescent="0.35">
      <c r="L4" s="134" t="s">
        <v>211</v>
      </c>
      <c r="M4" s="135">
        <f ca="1">SUMIF(N20:N119,2,X20:X119)/(closed-start)</f>
        <v>0.41111111111111104</v>
      </c>
      <c r="N4" s="136">
        <f t="shared" ref="N4:N5" ca="1" si="0">100%-M4</f>
        <v>0.58888888888888902</v>
      </c>
    </row>
    <row r="5" spans="1:26" ht="34.75" customHeight="1" thickBot="1" x14ac:dyDescent="0.4">
      <c r="L5" s="134" t="s">
        <v>212</v>
      </c>
      <c r="M5" s="135">
        <f ca="1">SUMIF(N20:N119,3,X20:X119)/(closed-start)</f>
        <v>0.24444444444444435</v>
      </c>
      <c r="N5" s="136">
        <f t="shared" ca="1" si="0"/>
        <v>0.75555555555555565</v>
      </c>
    </row>
    <row r="6" spans="1:26" ht="18" customHeight="1" x14ac:dyDescent="0.35">
      <c r="A6" s="159" t="s">
        <v>238</v>
      </c>
      <c r="B6" s="162" t="s">
        <v>239</v>
      </c>
      <c r="C6" s="162" t="s">
        <v>240</v>
      </c>
      <c r="D6" s="165" t="s">
        <v>241</v>
      </c>
      <c r="F6" s="168" t="s">
        <v>238</v>
      </c>
      <c r="G6" s="173" t="s">
        <v>239</v>
      </c>
      <c r="H6" s="173" t="s">
        <v>240</v>
      </c>
      <c r="I6" s="175" t="s">
        <v>242</v>
      </c>
    </row>
    <row r="7" spans="1:26" x14ac:dyDescent="0.35">
      <c r="A7" s="160"/>
      <c r="B7" s="163"/>
      <c r="C7" s="163"/>
      <c r="D7" s="166"/>
      <c r="F7" s="169"/>
      <c r="G7" s="174"/>
      <c r="H7" s="174"/>
      <c r="I7" s="176"/>
    </row>
    <row r="8" spans="1:26" ht="18" customHeight="1" x14ac:dyDescent="0.35">
      <c r="A8" s="161"/>
      <c r="B8" s="164"/>
      <c r="C8" s="164"/>
      <c r="D8" s="167"/>
      <c r="F8" s="169"/>
      <c r="G8" s="174"/>
      <c r="H8" s="174"/>
      <c r="I8" s="176"/>
    </row>
    <row r="9" spans="1:26" ht="15.5" x14ac:dyDescent="0.35">
      <c r="A9" s="116">
        <v>0.45</v>
      </c>
      <c r="B9" s="125">
        <v>0</v>
      </c>
      <c r="C9" s="125">
        <f>B9+A9</f>
        <v>0.45</v>
      </c>
      <c r="D9" s="126">
        <v>1</v>
      </c>
      <c r="F9" s="105">
        <v>0.3</v>
      </c>
      <c r="G9" s="129">
        <v>0</v>
      </c>
      <c r="H9" s="130">
        <f>G9+F9</f>
        <v>0.3</v>
      </c>
      <c r="I9" s="131">
        <v>3</v>
      </c>
    </row>
    <row r="10" spans="1:26" ht="15.5" x14ac:dyDescent="0.35">
      <c r="A10" s="116">
        <v>0.25</v>
      </c>
      <c r="B10" s="125">
        <f>C9</f>
        <v>0.45</v>
      </c>
      <c r="C10" s="125">
        <f>B10+A10</f>
        <v>0.7</v>
      </c>
      <c r="D10" s="126">
        <v>3</v>
      </c>
      <c r="F10" s="105">
        <v>0.35</v>
      </c>
      <c r="G10" s="130">
        <f>H9</f>
        <v>0.3</v>
      </c>
      <c r="H10" s="130">
        <f>G10+F10</f>
        <v>0.64999999999999991</v>
      </c>
      <c r="I10" s="131">
        <v>7</v>
      </c>
    </row>
    <row r="11" spans="1:26" ht="16" thickBot="1" x14ac:dyDescent="0.4">
      <c r="A11" s="116">
        <v>0.1</v>
      </c>
      <c r="B11" s="125">
        <f>C10</f>
        <v>0.7</v>
      </c>
      <c r="C11" s="125">
        <f>B11+A11</f>
        <v>0.79999999999999993</v>
      </c>
      <c r="D11" s="126">
        <v>5</v>
      </c>
      <c r="F11" s="106">
        <v>0.35</v>
      </c>
      <c r="G11" s="132">
        <f>H10</f>
        <v>0.64999999999999991</v>
      </c>
      <c r="H11" s="132">
        <f>G11+F11</f>
        <v>0.99999999999999989</v>
      </c>
      <c r="I11" s="133">
        <v>8</v>
      </c>
    </row>
    <row r="12" spans="1:26" ht="15" thickBot="1" x14ac:dyDescent="0.4">
      <c r="A12" s="117">
        <v>0.2</v>
      </c>
      <c r="B12" s="127">
        <f>C11</f>
        <v>0.79999999999999993</v>
      </c>
      <c r="C12" s="127">
        <f>B12+A12</f>
        <v>1</v>
      </c>
      <c r="D12" s="128">
        <v>10</v>
      </c>
    </row>
    <row r="13" spans="1:26" ht="15" thickBot="1" x14ac:dyDescent="0.4"/>
    <row r="14" spans="1:26" ht="19.5" customHeight="1" x14ac:dyDescent="0.35">
      <c r="A14" s="177" t="s">
        <v>213</v>
      </c>
      <c r="B14" s="180" t="s">
        <v>214</v>
      </c>
      <c r="C14" s="170" t="s">
        <v>215</v>
      </c>
      <c r="D14" s="183" t="s">
        <v>216</v>
      </c>
      <c r="E14" s="170" t="s">
        <v>217</v>
      </c>
      <c r="F14" s="186" t="s">
        <v>218</v>
      </c>
      <c r="G14" s="189" t="s">
        <v>219</v>
      </c>
      <c r="H14" s="192" t="s">
        <v>220</v>
      </c>
      <c r="I14" s="195" t="s">
        <v>221</v>
      </c>
      <c r="J14" s="170" t="s">
        <v>235</v>
      </c>
      <c r="K14" s="170" t="s">
        <v>236</v>
      </c>
      <c r="L14" s="170" t="s">
        <v>237</v>
      </c>
      <c r="M14" s="198" t="s">
        <v>222</v>
      </c>
      <c r="N14" s="201" t="s">
        <v>223</v>
      </c>
      <c r="O14" s="218" t="s">
        <v>224</v>
      </c>
      <c r="P14" s="218"/>
      <c r="Q14" s="220" t="s">
        <v>227</v>
      </c>
      <c r="R14" s="220"/>
      <c r="S14" s="222" t="s">
        <v>228</v>
      </c>
      <c r="T14" s="222"/>
      <c r="U14" s="204" t="s">
        <v>229</v>
      </c>
      <c r="V14" s="207" t="s">
        <v>230</v>
      </c>
      <c r="W14" s="186" t="s">
        <v>231</v>
      </c>
      <c r="X14" s="228" t="s">
        <v>232</v>
      </c>
      <c r="Y14" s="212" t="s">
        <v>233</v>
      </c>
      <c r="Z14" s="215" t="s">
        <v>234</v>
      </c>
    </row>
    <row r="15" spans="1:26" ht="18" customHeight="1" x14ac:dyDescent="0.35">
      <c r="A15" s="178"/>
      <c r="B15" s="181"/>
      <c r="C15" s="171"/>
      <c r="D15" s="184"/>
      <c r="E15" s="171"/>
      <c r="F15" s="187"/>
      <c r="G15" s="190"/>
      <c r="H15" s="193"/>
      <c r="I15" s="196"/>
      <c r="J15" s="171"/>
      <c r="K15" s="171"/>
      <c r="L15" s="171"/>
      <c r="M15" s="199"/>
      <c r="N15" s="202"/>
      <c r="O15" s="219"/>
      <c r="P15" s="219"/>
      <c r="Q15" s="221"/>
      <c r="R15" s="221"/>
      <c r="S15" s="223"/>
      <c r="T15" s="223"/>
      <c r="U15" s="205"/>
      <c r="V15" s="208"/>
      <c r="W15" s="187"/>
      <c r="X15" s="229"/>
      <c r="Y15" s="213"/>
      <c r="Z15" s="216"/>
    </row>
    <row r="16" spans="1:26" ht="17.25" customHeight="1" x14ac:dyDescent="0.35">
      <c r="A16" s="178"/>
      <c r="B16" s="181"/>
      <c r="C16" s="171"/>
      <c r="D16" s="184"/>
      <c r="E16" s="171"/>
      <c r="F16" s="187"/>
      <c r="G16" s="190"/>
      <c r="H16" s="193"/>
      <c r="I16" s="196"/>
      <c r="J16" s="171"/>
      <c r="K16" s="171"/>
      <c r="L16" s="171"/>
      <c r="M16" s="199"/>
      <c r="N16" s="202"/>
      <c r="O16" s="224" t="s">
        <v>225</v>
      </c>
      <c r="P16" s="224" t="s">
        <v>226</v>
      </c>
      <c r="Q16" s="226" t="s">
        <v>225</v>
      </c>
      <c r="R16" s="226" t="s">
        <v>226</v>
      </c>
      <c r="S16" s="210" t="s">
        <v>225</v>
      </c>
      <c r="T16" s="210" t="s">
        <v>226</v>
      </c>
      <c r="U16" s="205"/>
      <c r="V16" s="208"/>
      <c r="W16" s="187"/>
      <c r="X16" s="229"/>
      <c r="Y16" s="213"/>
      <c r="Z16" s="216"/>
    </row>
    <row r="17" spans="1:26" ht="19.5" customHeight="1" thickBot="1" x14ac:dyDescent="0.4">
      <c r="A17" s="179"/>
      <c r="B17" s="182"/>
      <c r="C17" s="172"/>
      <c r="D17" s="185"/>
      <c r="E17" s="172"/>
      <c r="F17" s="188"/>
      <c r="G17" s="191"/>
      <c r="H17" s="194"/>
      <c r="I17" s="197"/>
      <c r="J17" s="172"/>
      <c r="K17" s="172"/>
      <c r="L17" s="172"/>
      <c r="M17" s="200"/>
      <c r="N17" s="203"/>
      <c r="O17" s="225"/>
      <c r="P17" s="225"/>
      <c r="Q17" s="227"/>
      <c r="R17" s="227"/>
      <c r="S17" s="211"/>
      <c r="T17" s="211"/>
      <c r="U17" s="206"/>
      <c r="V17" s="209"/>
      <c r="W17" s="188"/>
      <c r="X17" s="230"/>
      <c r="Y17" s="214"/>
      <c r="Z17" s="217"/>
    </row>
    <row r="19" spans="1:26" x14ac:dyDescent="0.35">
      <c r="F19" s="122">
        <f>start</f>
        <v>0.375</v>
      </c>
      <c r="M19" s="139">
        <f>start</f>
        <v>0.375</v>
      </c>
      <c r="P19" s="122">
        <f>start</f>
        <v>0.375</v>
      </c>
      <c r="R19" s="122">
        <f>start</f>
        <v>0.375</v>
      </c>
      <c r="T19" s="122">
        <f>start</f>
        <v>0.375</v>
      </c>
    </row>
    <row r="20" spans="1:26" x14ac:dyDescent="0.35">
      <c r="A20" s="115">
        <f ca="1">IF(ISTEXT(F20),"",1)</f>
        <v>1</v>
      </c>
      <c r="B20" s="115">
        <f t="shared" ref="B20:B83" ca="1" si="1">VLOOKUP(RAND(),IAT,3)</f>
        <v>1</v>
      </c>
      <c r="C20" s="122">
        <f ca="1">B20/1440</f>
        <v>6.9444444444444447E-4</v>
      </c>
      <c r="D20" s="115">
        <f t="shared" ref="D20:D83" ca="1" si="2">VLOOKUP(RAND(),ST,3)</f>
        <v>3</v>
      </c>
      <c r="E20" s="122">
        <f ca="1">D20/1440</f>
        <v>2.0833333333333333E-3</v>
      </c>
      <c r="F20" s="122">
        <f t="shared" ref="F20:F59" ca="1" si="3">IF(ISTEXT(F19),"",IF(F19+C20&gt;=closed,"Закрыто",F19+C20))</f>
        <v>0.37569444444444444</v>
      </c>
      <c r="G20" s="122">
        <f ca="1">IF(ISTEXT(F20),"",M20-F20)</f>
        <v>0</v>
      </c>
      <c r="H20" s="115" t="str">
        <f t="shared" ref="H20:H59" ca="1" si="4">IF(ISTEXT(F20),"",IF(G20&gt;(renegat/1440),"Ушел",""))</f>
        <v/>
      </c>
      <c r="I20" s="122" t="str">
        <f t="shared" ref="I20:I59" ca="1" si="5">IF(H20="Ушел",F20+(renegat/1440),"")</f>
        <v/>
      </c>
      <c r="J20" s="122">
        <f ca="1">MAX(P19,$F20)</f>
        <v>0.37569444444444444</v>
      </c>
      <c r="K20" s="122">
        <f ca="1">MAX(R19,$F20)</f>
        <v>0.37569444444444444</v>
      </c>
      <c r="L20" s="122">
        <f ca="1">MAX(T19,$F20)</f>
        <v>0.37569444444444444</v>
      </c>
      <c r="M20" s="122">
        <f ca="1">IF(ISTEXT(F20),"",MIN(J20:L20))</f>
        <v>0.37569444444444444</v>
      </c>
      <c r="N20" s="115">
        <f ca="1">IF(OR(ISTEXT(F20),H20="Ушел"),"",MATCH(M20,J20:L20,0))</f>
        <v>1</v>
      </c>
      <c r="O20" s="122">
        <f ca="1">IF($N20=1,M20,"")</f>
        <v>0.37569444444444444</v>
      </c>
      <c r="P20" s="122">
        <f ca="1">IF($N20=1,O20+$E20,P19)</f>
        <v>0.37777777777777777</v>
      </c>
      <c r="Q20" s="122" t="str">
        <f ca="1">IF($N20=2,M20,"")</f>
        <v/>
      </c>
      <c r="R20" s="122">
        <f ca="1">IF($N20=2,Q20+$E20,R19)</f>
        <v>0.375</v>
      </c>
      <c r="S20" s="122" t="str">
        <f ca="1">IF($N20=3,M20,"")</f>
        <v/>
      </c>
      <c r="T20" s="122">
        <f ca="1">IF($N20=3,S20+$E20,T19)</f>
        <v>0.375</v>
      </c>
      <c r="U20" s="122">
        <f ca="1">IF(H20="Ушел",I20-F20,G20)</f>
        <v>0</v>
      </c>
      <c r="V20" s="122">
        <f ca="1">IF(OR(H20="Ушел",A20="Закрыто"),"",E20)</f>
        <v>2.0833333333333333E-3</v>
      </c>
      <c r="W20" s="122">
        <f ca="1">IFERROR(Y20-F20,"")</f>
        <v>2.0833333333333259E-3</v>
      </c>
      <c r="X20" s="122">
        <f ca="1">IFERROR(IF(H20="Ушел",W20,$E20+G20),"")</f>
        <v>2.0833333333333333E-3</v>
      </c>
      <c r="Y20" s="122">
        <f ca="1">IFERROR(IF(H20="Ушел",I20,CHOOSE(N20,P20,R20,T20)),"")</f>
        <v>0.37777777777777777</v>
      </c>
      <c r="Z20" s="115">
        <f ca="1">COUNTIF($M$19:$M$19,"&gt;"&amp;$F20)</f>
        <v>0</v>
      </c>
    </row>
    <row r="21" spans="1:26" x14ac:dyDescent="0.35">
      <c r="A21" s="115">
        <f ca="1">IF(ISTEXT(F21),"Закрыто",A20+1)</f>
        <v>2</v>
      </c>
      <c r="B21" s="115">
        <f t="shared" ca="1" si="1"/>
        <v>5</v>
      </c>
      <c r="C21" s="122">
        <f t="shared" ref="C21:C59" ca="1" si="6">B21/1440</f>
        <v>3.472222222222222E-3</v>
      </c>
      <c r="D21" s="115">
        <f t="shared" ca="1" si="2"/>
        <v>3</v>
      </c>
      <c r="E21" s="122">
        <f t="shared" ref="E21:E59" ca="1" si="7">D21/1440</f>
        <v>2.0833333333333333E-3</v>
      </c>
      <c r="F21" s="122">
        <f t="shared" ca="1" si="3"/>
        <v>0.37916666666666665</v>
      </c>
      <c r="G21" s="122">
        <f t="shared" ref="G21:G59" ca="1" si="8">IF(ISTEXT(F21),"",M21-F21)</f>
        <v>0</v>
      </c>
      <c r="H21" s="115" t="str">
        <f t="shared" ca="1" si="4"/>
        <v/>
      </c>
      <c r="I21" s="122" t="str">
        <f t="shared" ca="1" si="5"/>
        <v/>
      </c>
      <c r="J21" s="122">
        <f ca="1">IF(ISTEXT($F21),"",MAX($P$19:P20,$F21))</f>
        <v>0.37916666666666665</v>
      </c>
      <c r="K21" s="122">
        <f ca="1">IF(ISTEXT($F21),"",MAX($R$19:R20,$F21))</f>
        <v>0.37916666666666665</v>
      </c>
      <c r="L21" s="122">
        <f ca="1">IF(ISTEXT($F21),"",MAX(T19:T20,$F21))</f>
        <v>0.37916666666666665</v>
      </c>
      <c r="M21" s="122">
        <f t="shared" ref="M21:M59" ca="1" si="9">IF(ISTEXT(F21),"",MIN(J21:L21))</f>
        <v>0.37916666666666665</v>
      </c>
      <c r="N21" s="115">
        <f t="shared" ref="N21:N59" ca="1" si="10">IF(OR(ISTEXT(F21),H21="Ушел"),"",MATCH(M21,J21:L21,0))</f>
        <v>1</v>
      </c>
      <c r="O21" s="122">
        <f t="shared" ref="O21:O59" ca="1" si="11">IF($N21=1,M21,"")</f>
        <v>0.37916666666666665</v>
      </c>
      <c r="P21" s="122">
        <f t="shared" ref="P21:P59" ca="1" si="12">IF($N21=1,O21+$E21,P20)</f>
        <v>0.38124999999999998</v>
      </c>
      <c r="Q21" s="122" t="str">
        <f t="shared" ref="Q21:Q59" ca="1" si="13">IF($N21=2,M21,"")</f>
        <v/>
      </c>
      <c r="R21" s="122">
        <f t="shared" ref="R21:R59" ca="1" si="14">IF($N21=2,Q21+$E21,R20)</f>
        <v>0.375</v>
      </c>
      <c r="S21" s="122" t="str">
        <f t="shared" ref="S21:S59" ca="1" si="15">IF($N21=3,M21,"")</f>
        <v/>
      </c>
      <c r="T21" s="122">
        <f t="shared" ref="T21:T59" ca="1" si="16">IF($N21=3,S21+$E21,T20)</f>
        <v>0.375</v>
      </c>
      <c r="U21" s="122">
        <f t="shared" ref="U21:U59" ca="1" si="17">IF(H21="Ушел",I21-F21,G21)</f>
        <v>0</v>
      </c>
      <c r="V21" s="122">
        <f t="shared" ref="V21:V59" ca="1" si="18">IF(OR(H21="Ушел",A21="Закрыто"),"",E21)</f>
        <v>2.0833333333333333E-3</v>
      </c>
      <c r="W21" s="122">
        <f t="shared" ref="W21:W58" ca="1" si="19">IFERROR(Y21-F21,"")</f>
        <v>2.0833333333333259E-3</v>
      </c>
      <c r="X21" s="122">
        <f ca="1">IFERROR(IF(H21="Ушел",W21,$E21+G21),"")</f>
        <v>2.0833333333333333E-3</v>
      </c>
      <c r="Y21" s="122">
        <f t="shared" ref="Y21:Y59" ca="1" si="20">IFERROR(IF(H21="Ушел",I21,CHOOSE(N21,P21,R21,T21)),"")</f>
        <v>0.38124999999999998</v>
      </c>
      <c r="Z21" s="115">
        <f ca="1">COUNTIF($M$19:$M$19,"&gt;"&amp;$F21)</f>
        <v>0</v>
      </c>
    </row>
    <row r="22" spans="1:26" x14ac:dyDescent="0.35">
      <c r="A22" s="115">
        <f t="shared" ref="A22:A59" ca="1" si="21">IF(ISTEXT(F22),"Закрыто",A21+1)</f>
        <v>3</v>
      </c>
      <c r="B22" s="115">
        <f t="shared" ca="1" si="1"/>
        <v>5</v>
      </c>
      <c r="C22" s="122">
        <f t="shared" ca="1" si="6"/>
        <v>3.472222222222222E-3</v>
      </c>
      <c r="D22" s="115">
        <f t="shared" ca="1" si="2"/>
        <v>8</v>
      </c>
      <c r="E22" s="122">
        <f t="shared" ca="1" si="7"/>
        <v>5.5555555555555558E-3</v>
      </c>
      <c r="F22" s="122">
        <f t="shared" ca="1" si="3"/>
        <v>0.38263888888888886</v>
      </c>
      <c r="G22" s="122">
        <f t="shared" ca="1" si="8"/>
        <v>0</v>
      </c>
      <c r="H22" s="115" t="str">
        <f t="shared" ca="1" si="4"/>
        <v/>
      </c>
      <c r="I22" s="122" t="str">
        <f t="shared" ca="1" si="5"/>
        <v/>
      </c>
      <c r="J22" s="122">
        <f ca="1">IF(ISTEXT($F22),"",MAX($P$19:P21,$F22))</f>
        <v>0.38263888888888886</v>
      </c>
      <c r="K22" s="122">
        <f ca="1">IF(ISTEXT($F22),"",MAX($R$19:R21,$F22))</f>
        <v>0.38263888888888886</v>
      </c>
      <c r="L22" s="122">
        <f t="shared" ref="L22:L59" ca="1" si="22">IF(ISTEXT($F22),"",MAX(T20:T21,$F22))</f>
        <v>0.38263888888888886</v>
      </c>
      <c r="M22" s="122">
        <f t="shared" ca="1" si="9"/>
        <v>0.38263888888888886</v>
      </c>
      <c r="N22" s="115">
        <f t="shared" ca="1" si="10"/>
        <v>1</v>
      </c>
      <c r="O22" s="122">
        <f t="shared" ca="1" si="11"/>
        <v>0.38263888888888886</v>
      </c>
      <c r="P22" s="122">
        <f t="shared" ca="1" si="12"/>
        <v>0.3881944444444444</v>
      </c>
      <c r="Q22" s="122" t="str">
        <f t="shared" ca="1" si="13"/>
        <v/>
      </c>
      <c r="R22" s="122">
        <f t="shared" ca="1" si="14"/>
        <v>0.375</v>
      </c>
      <c r="S22" s="122" t="str">
        <f t="shared" ca="1" si="15"/>
        <v/>
      </c>
      <c r="T22" s="122">
        <f t="shared" ca="1" si="16"/>
        <v>0.375</v>
      </c>
      <c r="U22" s="122">
        <f t="shared" ca="1" si="17"/>
        <v>0</v>
      </c>
      <c r="V22" s="122">
        <f t="shared" ca="1" si="18"/>
        <v>5.5555555555555558E-3</v>
      </c>
      <c r="W22" s="122">
        <f t="shared" ca="1" si="19"/>
        <v>5.5555555555555358E-3</v>
      </c>
      <c r="X22" s="122">
        <f t="shared" ref="X22:X59" ca="1" si="23">IFERROR(IF(H22="Ушел",W22,$E22+G22),"")</f>
        <v>5.5555555555555558E-3</v>
      </c>
      <c r="Y22" s="122">
        <f t="shared" ca="1" si="20"/>
        <v>0.3881944444444444</v>
      </c>
      <c r="Z22" s="115">
        <f t="shared" ref="Z22:Z84" ca="1" si="24">COUNTIF($M$19:$M$19,"&gt;"&amp;$F22)</f>
        <v>0</v>
      </c>
    </row>
    <row r="23" spans="1:26" x14ac:dyDescent="0.35">
      <c r="A23" s="115">
        <f t="shared" ca="1" si="21"/>
        <v>4</v>
      </c>
      <c r="B23" s="115">
        <f t="shared" ca="1" si="1"/>
        <v>5</v>
      </c>
      <c r="C23" s="122">
        <f t="shared" ca="1" si="6"/>
        <v>3.472222222222222E-3</v>
      </c>
      <c r="D23" s="115">
        <f t="shared" ca="1" si="2"/>
        <v>3</v>
      </c>
      <c r="E23" s="122">
        <f t="shared" ca="1" si="7"/>
        <v>2.0833333333333333E-3</v>
      </c>
      <c r="F23" s="122">
        <f t="shared" ca="1" si="3"/>
        <v>0.38611111111111107</v>
      </c>
      <c r="G23" s="122">
        <f t="shared" ca="1" si="8"/>
        <v>0</v>
      </c>
      <c r="H23" s="115" t="str">
        <f t="shared" ca="1" si="4"/>
        <v/>
      </c>
      <c r="I23" s="122" t="str">
        <f t="shared" ca="1" si="5"/>
        <v/>
      </c>
      <c r="J23" s="122">
        <f ca="1">IF(ISTEXT($F23),"",MAX($P$19:P22,$F23))</f>
        <v>0.3881944444444444</v>
      </c>
      <c r="K23" s="122">
        <f ca="1">IF(ISTEXT($F23),"",MAX($R$19:R22,$F23))</f>
        <v>0.38611111111111107</v>
      </c>
      <c r="L23" s="122">
        <f t="shared" ca="1" si="22"/>
        <v>0.38611111111111107</v>
      </c>
      <c r="M23" s="122">
        <f t="shared" ca="1" si="9"/>
        <v>0.38611111111111107</v>
      </c>
      <c r="N23" s="115">
        <f t="shared" ca="1" si="10"/>
        <v>2</v>
      </c>
      <c r="O23" s="122" t="str">
        <f t="shared" ca="1" si="11"/>
        <v/>
      </c>
      <c r="P23" s="122">
        <f t="shared" ca="1" si="12"/>
        <v>0.3881944444444444</v>
      </c>
      <c r="Q23" s="122">
        <f t="shared" ca="1" si="13"/>
        <v>0.38611111111111107</v>
      </c>
      <c r="R23" s="122">
        <f t="shared" ca="1" si="14"/>
        <v>0.3881944444444444</v>
      </c>
      <c r="S23" s="122" t="str">
        <f t="shared" ca="1" si="15"/>
        <v/>
      </c>
      <c r="T23" s="122">
        <f t="shared" ca="1" si="16"/>
        <v>0.375</v>
      </c>
      <c r="U23" s="122">
        <f t="shared" ca="1" si="17"/>
        <v>0</v>
      </c>
      <c r="V23" s="122">
        <f t="shared" ca="1" si="18"/>
        <v>2.0833333333333333E-3</v>
      </c>
      <c r="W23" s="122">
        <f t="shared" ca="1" si="19"/>
        <v>2.0833333333333259E-3</v>
      </c>
      <c r="X23" s="122">
        <f t="shared" ca="1" si="23"/>
        <v>2.0833333333333333E-3</v>
      </c>
      <c r="Y23" s="122">
        <f t="shared" ca="1" si="20"/>
        <v>0.3881944444444444</v>
      </c>
      <c r="Z23" s="115">
        <f t="shared" ca="1" si="24"/>
        <v>0</v>
      </c>
    </row>
    <row r="24" spans="1:26" x14ac:dyDescent="0.35">
      <c r="A24" s="115">
        <f t="shared" ca="1" si="21"/>
        <v>5</v>
      </c>
      <c r="B24" s="115">
        <f t="shared" ca="1" si="1"/>
        <v>5</v>
      </c>
      <c r="C24" s="122">
        <f t="shared" ca="1" si="6"/>
        <v>3.472222222222222E-3</v>
      </c>
      <c r="D24" s="115">
        <f t="shared" ca="1" si="2"/>
        <v>8</v>
      </c>
      <c r="E24" s="122">
        <f t="shared" ca="1" si="7"/>
        <v>5.5555555555555558E-3</v>
      </c>
      <c r="F24" s="122">
        <f t="shared" ca="1" si="3"/>
        <v>0.38958333333333328</v>
      </c>
      <c r="G24" s="122">
        <f t="shared" ca="1" si="8"/>
        <v>0</v>
      </c>
      <c r="H24" s="115" t="str">
        <f t="shared" ca="1" si="4"/>
        <v/>
      </c>
      <c r="I24" s="122" t="str">
        <f t="shared" ca="1" si="5"/>
        <v/>
      </c>
      <c r="J24" s="122">
        <f ca="1">IF(ISTEXT($F24),"",MAX($P$19:P23,$F24))</f>
        <v>0.38958333333333328</v>
      </c>
      <c r="K24" s="122">
        <f ca="1">IF(ISTEXT($F24),"",MAX($R$19:R23,$F24))</f>
        <v>0.38958333333333328</v>
      </c>
      <c r="L24" s="122">
        <f t="shared" ca="1" si="22"/>
        <v>0.38958333333333328</v>
      </c>
      <c r="M24" s="122">
        <f t="shared" ca="1" si="9"/>
        <v>0.38958333333333328</v>
      </c>
      <c r="N24" s="115">
        <f t="shared" ca="1" si="10"/>
        <v>1</v>
      </c>
      <c r="O24" s="122">
        <f t="shared" ca="1" si="11"/>
        <v>0.38958333333333328</v>
      </c>
      <c r="P24" s="122">
        <f t="shared" ca="1" si="12"/>
        <v>0.39513888888888882</v>
      </c>
      <c r="Q24" s="122" t="str">
        <f t="shared" ca="1" si="13"/>
        <v/>
      </c>
      <c r="R24" s="122">
        <f t="shared" ca="1" si="14"/>
        <v>0.3881944444444444</v>
      </c>
      <c r="S24" s="122" t="str">
        <f t="shared" ca="1" si="15"/>
        <v/>
      </c>
      <c r="T24" s="122">
        <f t="shared" ca="1" si="16"/>
        <v>0.375</v>
      </c>
      <c r="U24" s="122">
        <f t="shared" ca="1" si="17"/>
        <v>0</v>
      </c>
      <c r="V24" s="122">
        <f t="shared" ca="1" si="18"/>
        <v>5.5555555555555558E-3</v>
      </c>
      <c r="W24" s="122">
        <f t="shared" ca="1" si="19"/>
        <v>5.5555555555555358E-3</v>
      </c>
      <c r="X24" s="122">
        <f t="shared" ca="1" si="23"/>
        <v>5.5555555555555558E-3</v>
      </c>
      <c r="Y24" s="122">
        <f t="shared" ca="1" si="20"/>
        <v>0.39513888888888882</v>
      </c>
      <c r="Z24" s="115">
        <f t="shared" ca="1" si="24"/>
        <v>0</v>
      </c>
    </row>
    <row r="25" spans="1:26" x14ac:dyDescent="0.35">
      <c r="A25" s="115">
        <f t="shared" ca="1" si="21"/>
        <v>6</v>
      </c>
      <c r="B25" s="115">
        <f t="shared" ca="1" si="1"/>
        <v>1</v>
      </c>
      <c r="C25" s="122">
        <f t="shared" ca="1" si="6"/>
        <v>6.9444444444444447E-4</v>
      </c>
      <c r="D25" s="115">
        <f t="shared" ca="1" si="2"/>
        <v>8</v>
      </c>
      <c r="E25" s="122">
        <f t="shared" ca="1" si="7"/>
        <v>5.5555555555555558E-3</v>
      </c>
      <c r="F25" s="122">
        <f t="shared" ca="1" si="3"/>
        <v>0.39027777777777772</v>
      </c>
      <c r="G25" s="122">
        <f t="shared" ca="1" si="8"/>
        <v>0</v>
      </c>
      <c r="H25" s="115" t="str">
        <f t="shared" ca="1" si="4"/>
        <v/>
      </c>
      <c r="I25" s="122" t="str">
        <f t="shared" ca="1" si="5"/>
        <v/>
      </c>
      <c r="J25" s="122">
        <f ca="1">IF(ISTEXT($F25),"",MAX($P$19:P24,$F25))</f>
        <v>0.39513888888888882</v>
      </c>
      <c r="K25" s="122">
        <f ca="1">IF(ISTEXT($F25),"",MAX($R$19:R24,$F25))</f>
        <v>0.39027777777777772</v>
      </c>
      <c r="L25" s="122">
        <f t="shared" ca="1" si="22"/>
        <v>0.39027777777777772</v>
      </c>
      <c r="M25" s="122">
        <f t="shared" ca="1" si="9"/>
        <v>0.39027777777777772</v>
      </c>
      <c r="N25" s="115">
        <f t="shared" ca="1" si="10"/>
        <v>2</v>
      </c>
      <c r="O25" s="122" t="str">
        <f t="shared" ca="1" si="11"/>
        <v/>
      </c>
      <c r="P25" s="122">
        <f t="shared" ca="1" si="12"/>
        <v>0.39513888888888882</v>
      </c>
      <c r="Q25" s="122">
        <f t="shared" ca="1" si="13"/>
        <v>0.39027777777777772</v>
      </c>
      <c r="R25" s="122">
        <f t="shared" ca="1" si="14"/>
        <v>0.39583333333333326</v>
      </c>
      <c r="S25" s="122" t="str">
        <f t="shared" ca="1" si="15"/>
        <v/>
      </c>
      <c r="T25" s="122">
        <f t="shared" ca="1" si="16"/>
        <v>0.375</v>
      </c>
      <c r="U25" s="122">
        <f t="shared" ca="1" si="17"/>
        <v>0</v>
      </c>
      <c r="V25" s="122">
        <f t="shared" ca="1" si="18"/>
        <v>5.5555555555555558E-3</v>
      </c>
      <c r="W25" s="122">
        <f t="shared" ca="1" si="19"/>
        <v>5.5555555555555358E-3</v>
      </c>
      <c r="X25" s="122">
        <f t="shared" ca="1" si="23"/>
        <v>5.5555555555555558E-3</v>
      </c>
      <c r="Y25" s="122">
        <f t="shared" ca="1" si="20"/>
        <v>0.39583333333333326</v>
      </c>
      <c r="Z25" s="115">
        <f t="shared" ca="1" si="24"/>
        <v>0</v>
      </c>
    </row>
    <row r="26" spans="1:26" x14ac:dyDescent="0.35">
      <c r="A26" s="115">
        <f t="shared" ca="1" si="21"/>
        <v>7</v>
      </c>
      <c r="B26" s="115">
        <f t="shared" ca="1" si="1"/>
        <v>5</v>
      </c>
      <c r="C26" s="122">
        <f t="shared" ca="1" si="6"/>
        <v>3.472222222222222E-3</v>
      </c>
      <c r="D26" s="115">
        <f t="shared" ca="1" si="2"/>
        <v>8</v>
      </c>
      <c r="E26" s="122">
        <f t="shared" ca="1" si="7"/>
        <v>5.5555555555555558E-3</v>
      </c>
      <c r="F26" s="122">
        <f t="shared" ca="1" si="3"/>
        <v>0.39374999999999993</v>
      </c>
      <c r="G26" s="122">
        <f t="shared" ca="1" si="8"/>
        <v>0</v>
      </c>
      <c r="H26" s="115" t="str">
        <f t="shared" ca="1" si="4"/>
        <v/>
      </c>
      <c r="I26" s="122" t="str">
        <f t="shared" ca="1" si="5"/>
        <v/>
      </c>
      <c r="J26" s="122">
        <f ca="1">IF(ISTEXT($F26),"",MAX($P$19:P25,$F26))</f>
        <v>0.39513888888888882</v>
      </c>
      <c r="K26" s="122">
        <f ca="1">IF(ISTEXT($F26),"",MAX($R$19:R25,$F26))</f>
        <v>0.39583333333333326</v>
      </c>
      <c r="L26" s="122">
        <f t="shared" ca="1" si="22"/>
        <v>0.39374999999999993</v>
      </c>
      <c r="M26" s="122">
        <f t="shared" ca="1" si="9"/>
        <v>0.39374999999999993</v>
      </c>
      <c r="N26" s="115">
        <f t="shared" ca="1" si="10"/>
        <v>3</v>
      </c>
      <c r="O26" s="122" t="str">
        <f t="shared" ca="1" si="11"/>
        <v/>
      </c>
      <c r="P26" s="122">
        <f t="shared" ca="1" si="12"/>
        <v>0.39513888888888882</v>
      </c>
      <c r="Q26" s="122" t="str">
        <f t="shared" ca="1" si="13"/>
        <v/>
      </c>
      <c r="R26" s="122">
        <f t="shared" ca="1" si="14"/>
        <v>0.39583333333333326</v>
      </c>
      <c r="S26" s="122">
        <f t="shared" ca="1" si="15"/>
        <v>0.39374999999999993</v>
      </c>
      <c r="T26" s="122">
        <f t="shared" ca="1" si="16"/>
        <v>0.39930555555555547</v>
      </c>
      <c r="U26" s="122">
        <f t="shared" ca="1" si="17"/>
        <v>0</v>
      </c>
      <c r="V26" s="122">
        <f t="shared" ca="1" si="18"/>
        <v>5.5555555555555558E-3</v>
      </c>
      <c r="W26" s="122">
        <f t="shared" ca="1" si="19"/>
        <v>5.5555555555555358E-3</v>
      </c>
      <c r="X26" s="122">
        <f t="shared" ca="1" si="23"/>
        <v>5.5555555555555558E-3</v>
      </c>
      <c r="Y26" s="122">
        <f t="shared" ca="1" si="20"/>
        <v>0.39930555555555547</v>
      </c>
      <c r="Z26" s="115">
        <f t="shared" ca="1" si="24"/>
        <v>0</v>
      </c>
    </row>
    <row r="27" spans="1:26" x14ac:dyDescent="0.35">
      <c r="A27" s="115">
        <f t="shared" ca="1" si="21"/>
        <v>8</v>
      </c>
      <c r="B27" s="115">
        <f t="shared" ca="1" si="1"/>
        <v>1</v>
      </c>
      <c r="C27" s="122">
        <f t="shared" ca="1" si="6"/>
        <v>6.9444444444444447E-4</v>
      </c>
      <c r="D27" s="115">
        <f t="shared" ca="1" si="2"/>
        <v>3</v>
      </c>
      <c r="E27" s="122">
        <f t="shared" ca="1" si="7"/>
        <v>2.0833333333333333E-3</v>
      </c>
      <c r="F27" s="122">
        <f t="shared" ca="1" si="3"/>
        <v>0.39444444444444438</v>
      </c>
      <c r="G27" s="122">
        <f t="shared" ca="1" si="8"/>
        <v>6.9444444444444198E-4</v>
      </c>
      <c r="H27" s="115" t="str">
        <f t="shared" ca="1" si="4"/>
        <v/>
      </c>
      <c r="I27" s="122" t="str">
        <f t="shared" ca="1" si="5"/>
        <v/>
      </c>
      <c r="J27" s="122">
        <f ca="1">IF(ISTEXT($F27),"",MAX($P$19:P26,$F27))</f>
        <v>0.39513888888888882</v>
      </c>
      <c r="K27" s="122">
        <f ca="1">IF(ISTEXT($F27),"",MAX($R$19:R26,$F27))</f>
        <v>0.39583333333333326</v>
      </c>
      <c r="L27" s="122">
        <f t="shared" ca="1" si="22"/>
        <v>0.39930555555555547</v>
      </c>
      <c r="M27" s="122">
        <f t="shared" ca="1" si="9"/>
        <v>0.39513888888888882</v>
      </c>
      <c r="N27" s="115">
        <f t="shared" ca="1" si="10"/>
        <v>1</v>
      </c>
      <c r="O27" s="122">
        <f t="shared" ca="1" si="11"/>
        <v>0.39513888888888882</v>
      </c>
      <c r="P27" s="122">
        <f t="shared" ca="1" si="12"/>
        <v>0.39722222222222214</v>
      </c>
      <c r="Q27" s="122" t="str">
        <f t="shared" ca="1" si="13"/>
        <v/>
      </c>
      <c r="R27" s="122">
        <f t="shared" ca="1" si="14"/>
        <v>0.39583333333333326</v>
      </c>
      <c r="S27" s="122" t="str">
        <f t="shared" ca="1" si="15"/>
        <v/>
      </c>
      <c r="T27" s="122">
        <f t="shared" ca="1" si="16"/>
        <v>0.39930555555555547</v>
      </c>
      <c r="U27" s="122">
        <f t="shared" ca="1" si="17"/>
        <v>6.9444444444444198E-4</v>
      </c>
      <c r="V27" s="122">
        <f t="shared" ca="1" si="18"/>
        <v>2.0833333333333333E-3</v>
      </c>
      <c r="W27" s="122">
        <f t="shared" ca="1" si="19"/>
        <v>2.7777777777777679E-3</v>
      </c>
      <c r="X27" s="122">
        <f t="shared" ca="1" si="23"/>
        <v>2.7777777777777753E-3</v>
      </c>
      <c r="Y27" s="122">
        <f t="shared" ca="1" si="20"/>
        <v>0.39722222222222214</v>
      </c>
      <c r="Z27" s="115">
        <f t="shared" ca="1" si="24"/>
        <v>0</v>
      </c>
    </row>
    <row r="28" spans="1:26" x14ac:dyDescent="0.35">
      <c r="A28" s="115">
        <f t="shared" ca="1" si="21"/>
        <v>9</v>
      </c>
      <c r="B28" s="115">
        <f t="shared" ca="1" si="1"/>
        <v>3</v>
      </c>
      <c r="C28" s="122">
        <f t="shared" ca="1" si="6"/>
        <v>2.0833333333333333E-3</v>
      </c>
      <c r="D28" s="115">
        <f t="shared" ca="1" si="2"/>
        <v>8</v>
      </c>
      <c r="E28" s="122">
        <f t="shared" ca="1" si="7"/>
        <v>5.5555555555555558E-3</v>
      </c>
      <c r="F28" s="122">
        <f t="shared" ca="1" si="3"/>
        <v>0.3965277777777777</v>
      </c>
      <c r="G28" s="122">
        <f t="shared" ca="1" si="8"/>
        <v>0</v>
      </c>
      <c r="H28" s="115" t="str">
        <f t="shared" ca="1" si="4"/>
        <v/>
      </c>
      <c r="I28" s="122" t="str">
        <f t="shared" ca="1" si="5"/>
        <v/>
      </c>
      <c r="J28" s="122">
        <f ca="1">IF(ISTEXT($F28),"",MAX($P$19:P27,$F28))</f>
        <v>0.39722222222222214</v>
      </c>
      <c r="K28" s="122">
        <f ca="1">IF(ISTEXT($F28),"",MAX($R$19:R27,$F28))</f>
        <v>0.3965277777777777</v>
      </c>
      <c r="L28" s="122">
        <f t="shared" ca="1" si="22"/>
        <v>0.39930555555555547</v>
      </c>
      <c r="M28" s="122">
        <f t="shared" ca="1" si="9"/>
        <v>0.3965277777777777</v>
      </c>
      <c r="N28" s="115">
        <f t="shared" ca="1" si="10"/>
        <v>2</v>
      </c>
      <c r="O28" s="122" t="str">
        <f t="shared" ca="1" si="11"/>
        <v/>
      </c>
      <c r="P28" s="122">
        <f t="shared" ca="1" si="12"/>
        <v>0.39722222222222214</v>
      </c>
      <c r="Q28" s="122">
        <f t="shared" ca="1" si="13"/>
        <v>0.3965277777777777</v>
      </c>
      <c r="R28" s="122">
        <f t="shared" ca="1" si="14"/>
        <v>0.40208333333333324</v>
      </c>
      <c r="S28" s="122" t="str">
        <f t="shared" ca="1" si="15"/>
        <v/>
      </c>
      <c r="T28" s="122">
        <f t="shared" ca="1" si="16"/>
        <v>0.39930555555555547</v>
      </c>
      <c r="U28" s="122">
        <f t="shared" ca="1" si="17"/>
        <v>0</v>
      </c>
      <c r="V28" s="122">
        <f t="shared" ca="1" si="18"/>
        <v>5.5555555555555558E-3</v>
      </c>
      <c r="W28" s="122">
        <f t="shared" ca="1" si="19"/>
        <v>5.5555555555555358E-3</v>
      </c>
      <c r="X28" s="122">
        <f t="shared" ca="1" si="23"/>
        <v>5.5555555555555558E-3</v>
      </c>
      <c r="Y28" s="122">
        <f t="shared" ca="1" si="20"/>
        <v>0.40208333333333324</v>
      </c>
      <c r="Z28" s="115">
        <f t="shared" ca="1" si="24"/>
        <v>0</v>
      </c>
    </row>
    <row r="29" spans="1:26" x14ac:dyDescent="0.35">
      <c r="A29" s="115">
        <f t="shared" ca="1" si="21"/>
        <v>10</v>
      </c>
      <c r="B29" s="115">
        <f t="shared" ca="1" si="1"/>
        <v>3</v>
      </c>
      <c r="C29" s="122">
        <f t="shared" ca="1" si="6"/>
        <v>2.0833333333333333E-3</v>
      </c>
      <c r="D29" s="115">
        <f t="shared" ca="1" si="2"/>
        <v>8</v>
      </c>
      <c r="E29" s="122">
        <f t="shared" ca="1" si="7"/>
        <v>5.5555555555555558E-3</v>
      </c>
      <c r="F29" s="122">
        <f t="shared" ca="1" si="3"/>
        <v>0.39861111111111103</v>
      </c>
      <c r="G29" s="122">
        <f t="shared" ca="1" si="8"/>
        <v>0</v>
      </c>
      <c r="H29" s="115" t="str">
        <f t="shared" ca="1" si="4"/>
        <v/>
      </c>
      <c r="I29" s="122" t="str">
        <f t="shared" ca="1" si="5"/>
        <v/>
      </c>
      <c r="J29" s="122">
        <f ca="1">IF(ISTEXT($F29),"",MAX($P$19:P28,$F29))</f>
        <v>0.39861111111111103</v>
      </c>
      <c r="K29" s="122">
        <f ca="1">IF(ISTEXT($F29),"",MAX($R$19:R28,$F29))</f>
        <v>0.40208333333333324</v>
      </c>
      <c r="L29" s="122">
        <f t="shared" ca="1" si="22"/>
        <v>0.39930555555555547</v>
      </c>
      <c r="M29" s="122">
        <f t="shared" ca="1" si="9"/>
        <v>0.39861111111111103</v>
      </c>
      <c r="N29" s="115">
        <f t="shared" ca="1" si="10"/>
        <v>1</v>
      </c>
      <c r="O29" s="122">
        <f t="shared" ca="1" si="11"/>
        <v>0.39861111111111103</v>
      </c>
      <c r="P29" s="122">
        <f t="shared" ca="1" si="12"/>
        <v>0.40416666666666656</v>
      </c>
      <c r="Q29" s="122" t="str">
        <f t="shared" ca="1" si="13"/>
        <v/>
      </c>
      <c r="R29" s="122">
        <f t="shared" ca="1" si="14"/>
        <v>0.40208333333333324</v>
      </c>
      <c r="S29" s="122" t="str">
        <f t="shared" ca="1" si="15"/>
        <v/>
      </c>
      <c r="T29" s="122">
        <f t="shared" ca="1" si="16"/>
        <v>0.39930555555555547</v>
      </c>
      <c r="U29" s="122">
        <f t="shared" ca="1" si="17"/>
        <v>0</v>
      </c>
      <c r="V29" s="122">
        <f t="shared" ca="1" si="18"/>
        <v>5.5555555555555558E-3</v>
      </c>
      <c r="W29" s="122">
        <f t="shared" ca="1" si="19"/>
        <v>5.5555555555555358E-3</v>
      </c>
      <c r="X29" s="122">
        <f t="shared" ca="1" si="23"/>
        <v>5.5555555555555558E-3</v>
      </c>
      <c r="Y29" s="122">
        <f t="shared" ca="1" si="20"/>
        <v>0.40416666666666656</v>
      </c>
      <c r="Z29" s="115">
        <f t="shared" ca="1" si="24"/>
        <v>0</v>
      </c>
    </row>
    <row r="30" spans="1:26" x14ac:dyDescent="0.35">
      <c r="A30" s="115">
        <f t="shared" ca="1" si="21"/>
        <v>11</v>
      </c>
      <c r="B30" s="115">
        <f t="shared" ca="1" si="1"/>
        <v>3</v>
      </c>
      <c r="C30" s="122">
        <f t="shared" ca="1" si="6"/>
        <v>2.0833333333333333E-3</v>
      </c>
      <c r="D30" s="115">
        <f t="shared" ca="1" si="2"/>
        <v>8</v>
      </c>
      <c r="E30" s="122">
        <f t="shared" ca="1" si="7"/>
        <v>5.5555555555555558E-3</v>
      </c>
      <c r="F30" s="122">
        <f t="shared" ca="1" si="3"/>
        <v>0.40069444444444435</v>
      </c>
      <c r="G30" s="122">
        <f t="shared" ca="1" si="8"/>
        <v>0</v>
      </c>
      <c r="H30" s="115" t="str">
        <f t="shared" ca="1" si="4"/>
        <v/>
      </c>
      <c r="I30" s="122" t="str">
        <f t="shared" ca="1" si="5"/>
        <v/>
      </c>
      <c r="J30" s="122">
        <f ca="1">IF(ISTEXT($F30),"",MAX($P$19:P29,$F30))</f>
        <v>0.40416666666666656</v>
      </c>
      <c r="K30" s="122">
        <f ca="1">IF(ISTEXT($F30),"",MAX($R$19:R29,$F30))</f>
        <v>0.40208333333333324</v>
      </c>
      <c r="L30" s="122">
        <f t="shared" ca="1" si="22"/>
        <v>0.40069444444444435</v>
      </c>
      <c r="M30" s="122">
        <f t="shared" ca="1" si="9"/>
        <v>0.40069444444444435</v>
      </c>
      <c r="N30" s="115">
        <f t="shared" ca="1" si="10"/>
        <v>3</v>
      </c>
      <c r="O30" s="122" t="str">
        <f t="shared" ca="1" si="11"/>
        <v/>
      </c>
      <c r="P30" s="122">
        <f t="shared" ca="1" si="12"/>
        <v>0.40416666666666656</v>
      </c>
      <c r="Q30" s="122" t="str">
        <f t="shared" ca="1" si="13"/>
        <v/>
      </c>
      <c r="R30" s="122">
        <f t="shared" ca="1" si="14"/>
        <v>0.40208333333333324</v>
      </c>
      <c r="S30" s="122">
        <f t="shared" ca="1" si="15"/>
        <v>0.40069444444444435</v>
      </c>
      <c r="T30" s="122">
        <f t="shared" ca="1" si="16"/>
        <v>0.40624999999999989</v>
      </c>
      <c r="U30" s="122">
        <f t="shared" ca="1" si="17"/>
        <v>0</v>
      </c>
      <c r="V30" s="122">
        <f t="shared" ca="1" si="18"/>
        <v>5.5555555555555558E-3</v>
      </c>
      <c r="W30" s="122">
        <f t="shared" ca="1" si="19"/>
        <v>5.5555555555555358E-3</v>
      </c>
      <c r="X30" s="122">
        <f t="shared" ca="1" si="23"/>
        <v>5.5555555555555558E-3</v>
      </c>
      <c r="Y30" s="122">
        <f t="shared" ca="1" si="20"/>
        <v>0.40624999999999989</v>
      </c>
      <c r="Z30" s="115">
        <f t="shared" ca="1" si="24"/>
        <v>0</v>
      </c>
    </row>
    <row r="31" spans="1:26" x14ac:dyDescent="0.35">
      <c r="A31" s="115">
        <f t="shared" ca="1" si="21"/>
        <v>12</v>
      </c>
      <c r="B31" s="115">
        <f t="shared" ca="1" si="1"/>
        <v>1</v>
      </c>
      <c r="C31" s="122">
        <f t="shared" ca="1" si="6"/>
        <v>6.9444444444444447E-4</v>
      </c>
      <c r="D31" s="115">
        <f t="shared" ca="1" si="2"/>
        <v>7</v>
      </c>
      <c r="E31" s="122">
        <f t="shared" ca="1" si="7"/>
        <v>4.8611111111111112E-3</v>
      </c>
      <c r="F31" s="122">
        <f t="shared" ca="1" si="3"/>
        <v>0.4013888888888888</v>
      </c>
      <c r="G31" s="122">
        <f t="shared" ca="1" si="8"/>
        <v>6.9444444444444198E-4</v>
      </c>
      <c r="H31" s="115" t="str">
        <f t="shared" ca="1" si="4"/>
        <v/>
      </c>
      <c r="I31" s="122" t="str">
        <f t="shared" ca="1" si="5"/>
        <v/>
      </c>
      <c r="J31" s="122">
        <f ca="1">IF(ISTEXT($F31),"",MAX($P$19:P30,$F31))</f>
        <v>0.40416666666666656</v>
      </c>
      <c r="K31" s="122">
        <f ca="1">IF(ISTEXT($F31),"",MAX($R$19:R30,$F31))</f>
        <v>0.40208333333333324</v>
      </c>
      <c r="L31" s="122">
        <f t="shared" ca="1" si="22"/>
        <v>0.40624999999999989</v>
      </c>
      <c r="M31" s="122">
        <f t="shared" ca="1" si="9"/>
        <v>0.40208333333333324</v>
      </c>
      <c r="N31" s="115">
        <f t="shared" ca="1" si="10"/>
        <v>2</v>
      </c>
      <c r="O31" s="122" t="str">
        <f t="shared" ca="1" si="11"/>
        <v/>
      </c>
      <c r="P31" s="122">
        <f t="shared" ca="1" si="12"/>
        <v>0.40416666666666656</v>
      </c>
      <c r="Q31" s="122">
        <f t="shared" ca="1" si="13"/>
        <v>0.40208333333333324</v>
      </c>
      <c r="R31" s="122">
        <f t="shared" ca="1" si="14"/>
        <v>0.40694444444444433</v>
      </c>
      <c r="S31" s="122" t="str">
        <f t="shared" ca="1" si="15"/>
        <v/>
      </c>
      <c r="T31" s="122">
        <f t="shared" ca="1" si="16"/>
        <v>0.40624999999999989</v>
      </c>
      <c r="U31" s="122">
        <f t="shared" ca="1" si="17"/>
        <v>6.9444444444444198E-4</v>
      </c>
      <c r="V31" s="122">
        <f t="shared" ca="1" si="18"/>
        <v>4.8611111111111112E-3</v>
      </c>
      <c r="W31" s="122">
        <f t="shared" ca="1" si="19"/>
        <v>5.5555555555555358E-3</v>
      </c>
      <c r="X31" s="122">
        <f t="shared" ca="1" si="23"/>
        <v>5.5555555555555532E-3</v>
      </c>
      <c r="Y31" s="122">
        <f t="shared" ca="1" si="20"/>
        <v>0.40694444444444433</v>
      </c>
      <c r="Z31" s="115">
        <f t="shared" ca="1" si="24"/>
        <v>0</v>
      </c>
    </row>
    <row r="32" spans="1:26" x14ac:dyDescent="0.35">
      <c r="A32" s="115">
        <f t="shared" ca="1" si="21"/>
        <v>13</v>
      </c>
      <c r="B32" s="115">
        <f t="shared" ca="1" si="1"/>
        <v>3</v>
      </c>
      <c r="C32" s="122">
        <f t="shared" ca="1" si="6"/>
        <v>2.0833333333333333E-3</v>
      </c>
      <c r="D32" s="115">
        <f t="shared" ca="1" si="2"/>
        <v>8</v>
      </c>
      <c r="E32" s="122">
        <f t="shared" ca="1" si="7"/>
        <v>5.5555555555555558E-3</v>
      </c>
      <c r="F32" s="122">
        <f t="shared" ca="1" si="3"/>
        <v>0.40347222222222212</v>
      </c>
      <c r="G32" s="122">
        <f t="shared" ca="1" si="8"/>
        <v>6.9444444444444198E-4</v>
      </c>
      <c r="H32" s="115" t="str">
        <f t="shared" ca="1" si="4"/>
        <v/>
      </c>
      <c r="I32" s="122" t="str">
        <f t="shared" ca="1" si="5"/>
        <v/>
      </c>
      <c r="J32" s="122">
        <f ca="1">IF(ISTEXT($F32),"",MAX($P$19:P31,$F32))</f>
        <v>0.40416666666666656</v>
      </c>
      <c r="K32" s="122">
        <f ca="1">IF(ISTEXT($F32),"",MAX($R$19:R31,$F32))</f>
        <v>0.40694444444444433</v>
      </c>
      <c r="L32" s="122">
        <f t="shared" ca="1" si="22"/>
        <v>0.40624999999999989</v>
      </c>
      <c r="M32" s="122">
        <f t="shared" ca="1" si="9"/>
        <v>0.40416666666666656</v>
      </c>
      <c r="N32" s="115">
        <f t="shared" ca="1" si="10"/>
        <v>1</v>
      </c>
      <c r="O32" s="122">
        <f t="shared" ca="1" si="11"/>
        <v>0.40416666666666656</v>
      </c>
      <c r="P32" s="122">
        <f t="shared" ca="1" si="12"/>
        <v>0.4097222222222221</v>
      </c>
      <c r="Q32" s="122" t="str">
        <f t="shared" ca="1" si="13"/>
        <v/>
      </c>
      <c r="R32" s="122">
        <f t="shared" ca="1" si="14"/>
        <v>0.40694444444444433</v>
      </c>
      <c r="S32" s="122" t="str">
        <f t="shared" ca="1" si="15"/>
        <v/>
      </c>
      <c r="T32" s="122">
        <f t="shared" ca="1" si="16"/>
        <v>0.40624999999999989</v>
      </c>
      <c r="U32" s="122">
        <f t="shared" ca="1" si="17"/>
        <v>6.9444444444444198E-4</v>
      </c>
      <c r="V32" s="122">
        <f t="shared" ca="1" si="18"/>
        <v>5.5555555555555558E-3</v>
      </c>
      <c r="W32" s="122">
        <f t="shared" ca="1" si="19"/>
        <v>6.2499999999999778E-3</v>
      </c>
      <c r="X32" s="122">
        <f t="shared" ca="1" si="23"/>
        <v>6.2499999999999977E-3</v>
      </c>
      <c r="Y32" s="122">
        <f t="shared" ca="1" si="20"/>
        <v>0.4097222222222221</v>
      </c>
      <c r="Z32" s="115">
        <f t="shared" ca="1" si="24"/>
        <v>0</v>
      </c>
    </row>
    <row r="33" spans="1:26" x14ac:dyDescent="0.35">
      <c r="A33" s="115">
        <f t="shared" ca="1" si="21"/>
        <v>14</v>
      </c>
      <c r="B33" s="115">
        <f t="shared" ca="1" si="1"/>
        <v>1</v>
      </c>
      <c r="C33" s="122">
        <f t="shared" ca="1" si="6"/>
        <v>6.9444444444444447E-4</v>
      </c>
      <c r="D33" s="115">
        <f t="shared" ca="1" si="2"/>
        <v>8</v>
      </c>
      <c r="E33" s="122">
        <f t="shared" ca="1" si="7"/>
        <v>5.5555555555555558E-3</v>
      </c>
      <c r="F33" s="122">
        <f t="shared" ca="1" si="3"/>
        <v>0.40416666666666656</v>
      </c>
      <c r="G33" s="122">
        <f t="shared" ca="1" si="8"/>
        <v>2.0833333333333259E-3</v>
      </c>
      <c r="H33" s="115" t="str">
        <f t="shared" ca="1" si="4"/>
        <v>Ушел</v>
      </c>
      <c r="I33" s="122">
        <f t="shared" ca="1" si="5"/>
        <v>0.40555555555555545</v>
      </c>
      <c r="J33" s="122">
        <f ca="1">IF(ISTEXT($F33),"",MAX($P$19:P32,$F33))</f>
        <v>0.4097222222222221</v>
      </c>
      <c r="K33" s="122">
        <f ca="1">IF(ISTEXT($F33),"",MAX($R$19:R32,$F33))</f>
        <v>0.40694444444444433</v>
      </c>
      <c r="L33" s="122">
        <f t="shared" ca="1" si="22"/>
        <v>0.40624999999999989</v>
      </c>
      <c r="M33" s="122">
        <f t="shared" ca="1" si="9"/>
        <v>0.40624999999999989</v>
      </c>
      <c r="N33" s="115" t="str">
        <f t="shared" ca="1" si="10"/>
        <v/>
      </c>
      <c r="O33" s="122" t="str">
        <f t="shared" ca="1" si="11"/>
        <v/>
      </c>
      <c r="P33" s="122">
        <f t="shared" ca="1" si="12"/>
        <v>0.4097222222222221</v>
      </c>
      <c r="Q33" s="122" t="str">
        <f t="shared" ca="1" si="13"/>
        <v/>
      </c>
      <c r="R33" s="122">
        <f t="shared" ca="1" si="14"/>
        <v>0.40694444444444433</v>
      </c>
      <c r="S33" s="122" t="str">
        <f t="shared" ca="1" si="15"/>
        <v/>
      </c>
      <c r="T33" s="122">
        <f t="shared" ca="1" si="16"/>
        <v>0.40624999999999989</v>
      </c>
      <c r="U33" s="122">
        <f t="shared" ca="1" si="17"/>
        <v>1.388888888888884E-3</v>
      </c>
      <c r="V33" s="122" t="str">
        <f t="shared" ca="1" si="18"/>
        <v/>
      </c>
      <c r="W33" s="122">
        <f t="shared" ca="1" si="19"/>
        <v>1.388888888888884E-3</v>
      </c>
      <c r="X33" s="122">
        <f t="shared" ca="1" si="23"/>
        <v>1.388888888888884E-3</v>
      </c>
      <c r="Y33" s="122">
        <f t="shared" ca="1" si="20"/>
        <v>0.40555555555555545</v>
      </c>
      <c r="Z33" s="115">
        <f t="shared" ca="1" si="24"/>
        <v>0</v>
      </c>
    </row>
    <row r="34" spans="1:26" x14ac:dyDescent="0.35">
      <c r="A34" s="115">
        <f t="shared" ca="1" si="21"/>
        <v>15</v>
      </c>
      <c r="B34" s="115">
        <f t="shared" ca="1" si="1"/>
        <v>1</v>
      </c>
      <c r="C34" s="122">
        <f t="shared" ca="1" si="6"/>
        <v>6.9444444444444447E-4</v>
      </c>
      <c r="D34" s="115">
        <f t="shared" ca="1" si="2"/>
        <v>8</v>
      </c>
      <c r="E34" s="122">
        <f t="shared" ca="1" si="7"/>
        <v>5.5555555555555558E-3</v>
      </c>
      <c r="F34" s="122">
        <f t="shared" ca="1" si="3"/>
        <v>0.40486111111111101</v>
      </c>
      <c r="G34" s="122">
        <f t="shared" ca="1" si="8"/>
        <v>1.388888888888884E-3</v>
      </c>
      <c r="H34" s="115" t="str">
        <f t="shared" ca="1" si="4"/>
        <v/>
      </c>
      <c r="I34" s="122" t="str">
        <f t="shared" ca="1" si="5"/>
        <v/>
      </c>
      <c r="J34" s="122">
        <f ca="1">IF(ISTEXT($F34),"",MAX($P$19:P33,$F34))</f>
        <v>0.4097222222222221</v>
      </c>
      <c r="K34" s="122">
        <f ca="1">IF(ISTEXT($F34),"",MAX($R$19:R33,$F34))</f>
        <v>0.40694444444444433</v>
      </c>
      <c r="L34" s="122">
        <f t="shared" ca="1" si="22"/>
        <v>0.40624999999999989</v>
      </c>
      <c r="M34" s="122">
        <f t="shared" ca="1" si="9"/>
        <v>0.40624999999999989</v>
      </c>
      <c r="N34" s="115">
        <f t="shared" ca="1" si="10"/>
        <v>3</v>
      </c>
      <c r="O34" s="122" t="str">
        <f t="shared" ca="1" si="11"/>
        <v/>
      </c>
      <c r="P34" s="122">
        <f t="shared" ca="1" si="12"/>
        <v>0.4097222222222221</v>
      </c>
      <c r="Q34" s="122" t="str">
        <f ca="1">IF($N34=2,M34,"")</f>
        <v/>
      </c>
      <c r="R34" s="122">
        <f t="shared" ca="1" si="14"/>
        <v>0.40694444444444433</v>
      </c>
      <c r="S34" s="122">
        <f t="shared" ca="1" si="15"/>
        <v>0.40624999999999989</v>
      </c>
      <c r="T34" s="122">
        <f t="shared" ca="1" si="16"/>
        <v>0.41180555555555542</v>
      </c>
      <c r="U34" s="122">
        <f t="shared" ca="1" si="17"/>
        <v>1.388888888888884E-3</v>
      </c>
      <c r="V34" s="122">
        <f t="shared" ca="1" si="18"/>
        <v>5.5555555555555558E-3</v>
      </c>
      <c r="W34" s="122">
        <f t="shared" ca="1" si="19"/>
        <v>6.9444444444444198E-3</v>
      </c>
      <c r="X34" s="122">
        <f t="shared" ca="1" si="23"/>
        <v>6.9444444444444397E-3</v>
      </c>
      <c r="Y34" s="122">
        <f t="shared" ca="1" si="20"/>
        <v>0.41180555555555542</v>
      </c>
      <c r="Z34" s="115">
        <f t="shared" ca="1" si="24"/>
        <v>0</v>
      </c>
    </row>
    <row r="35" spans="1:26" x14ac:dyDescent="0.35">
      <c r="A35" s="115">
        <f t="shared" ca="1" si="21"/>
        <v>16</v>
      </c>
      <c r="B35" s="115">
        <f t="shared" ca="1" si="1"/>
        <v>1</v>
      </c>
      <c r="C35" s="122">
        <f t="shared" ca="1" si="6"/>
        <v>6.9444444444444447E-4</v>
      </c>
      <c r="D35" s="115">
        <f t="shared" ca="1" si="2"/>
        <v>8</v>
      </c>
      <c r="E35" s="122">
        <f t="shared" ca="1" si="7"/>
        <v>5.5555555555555558E-3</v>
      </c>
      <c r="F35" s="122">
        <f t="shared" ca="1" si="3"/>
        <v>0.40555555555555545</v>
      </c>
      <c r="G35" s="122">
        <f t="shared" ca="1" si="8"/>
        <v>1.388888888888884E-3</v>
      </c>
      <c r="H35" s="115" t="str">
        <f t="shared" ca="1" si="4"/>
        <v/>
      </c>
      <c r="I35" s="122" t="str">
        <f t="shared" ca="1" si="5"/>
        <v/>
      </c>
      <c r="J35" s="122">
        <f ca="1">IF(ISTEXT($F35),"",MAX($P$19:P34,$F35))</f>
        <v>0.4097222222222221</v>
      </c>
      <c r="K35" s="122">
        <f ca="1">IF(ISTEXT($F35),"",MAX($R$19:R34,$F35))</f>
        <v>0.40694444444444433</v>
      </c>
      <c r="L35" s="122">
        <f t="shared" ca="1" si="22"/>
        <v>0.41180555555555542</v>
      </c>
      <c r="M35" s="122">
        <f t="shared" ca="1" si="9"/>
        <v>0.40694444444444433</v>
      </c>
      <c r="N35" s="115">
        <f t="shared" ca="1" si="10"/>
        <v>2</v>
      </c>
      <c r="O35" s="122" t="str">
        <f t="shared" ca="1" si="11"/>
        <v/>
      </c>
      <c r="P35" s="122">
        <f t="shared" ca="1" si="12"/>
        <v>0.4097222222222221</v>
      </c>
      <c r="Q35" s="122">
        <f t="shared" ca="1" si="13"/>
        <v>0.40694444444444433</v>
      </c>
      <c r="R35" s="122">
        <f t="shared" ca="1" si="14"/>
        <v>0.41249999999999987</v>
      </c>
      <c r="S35" s="122" t="str">
        <f t="shared" ca="1" si="15"/>
        <v/>
      </c>
      <c r="T35" s="122">
        <f t="shared" ca="1" si="16"/>
        <v>0.41180555555555542</v>
      </c>
      <c r="U35" s="122">
        <f t="shared" ca="1" si="17"/>
        <v>1.388888888888884E-3</v>
      </c>
      <c r="V35" s="122">
        <f t="shared" ca="1" si="18"/>
        <v>5.5555555555555558E-3</v>
      </c>
      <c r="W35" s="122">
        <f t="shared" ca="1" si="19"/>
        <v>6.9444444444444198E-3</v>
      </c>
      <c r="X35" s="122">
        <f ca="1">IFERROR(IF(H35="Ушел",W35,$E35+G35),"")</f>
        <v>6.9444444444444397E-3</v>
      </c>
      <c r="Y35" s="122">
        <f t="shared" ca="1" si="20"/>
        <v>0.41249999999999987</v>
      </c>
      <c r="Z35" s="115">
        <f t="shared" ca="1" si="24"/>
        <v>0</v>
      </c>
    </row>
    <row r="36" spans="1:26" x14ac:dyDescent="0.35">
      <c r="A36" s="115">
        <f t="shared" ca="1" si="21"/>
        <v>17</v>
      </c>
      <c r="B36" s="115">
        <f t="shared" ca="1" si="1"/>
        <v>1</v>
      </c>
      <c r="C36" s="122">
        <f t="shared" ca="1" si="6"/>
        <v>6.9444444444444447E-4</v>
      </c>
      <c r="D36" s="115">
        <f t="shared" ca="1" si="2"/>
        <v>8</v>
      </c>
      <c r="E36" s="122">
        <f t="shared" ca="1" si="7"/>
        <v>5.5555555555555558E-3</v>
      </c>
      <c r="F36" s="122">
        <f t="shared" ca="1" si="3"/>
        <v>0.40624999999999989</v>
      </c>
      <c r="G36" s="122">
        <f t="shared" ca="1" si="8"/>
        <v>3.4722222222222099E-3</v>
      </c>
      <c r="H36" s="115" t="str">
        <f t="shared" ca="1" si="4"/>
        <v>Ушел</v>
      </c>
      <c r="I36" s="122">
        <f t="shared" ca="1" si="5"/>
        <v>0.40763888888888877</v>
      </c>
      <c r="J36" s="122">
        <f ca="1">IF(ISTEXT($F36),"",MAX($P$19:P35,$F36))</f>
        <v>0.4097222222222221</v>
      </c>
      <c r="K36" s="122">
        <f ca="1">IF(ISTEXT($F36),"",MAX($R$19:R35,$F36))</f>
        <v>0.41249999999999987</v>
      </c>
      <c r="L36" s="122">
        <f t="shared" ca="1" si="22"/>
        <v>0.41180555555555542</v>
      </c>
      <c r="M36" s="122">
        <f t="shared" ca="1" si="9"/>
        <v>0.4097222222222221</v>
      </c>
      <c r="N36" s="115" t="str">
        <f t="shared" ca="1" si="10"/>
        <v/>
      </c>
      <c r="O36" s="122" t="str">
        <f t="shared" ca="1" si="11"/>
        <v/>
      </c>
      <c r="P36" s="122">
        <f t="shared" ca="1" si="12"/>
        <v>0.4097222222222221</v>
      </c>
      <c r="Q36" s="122" t="str">
        <f t="shared" ca="1" si="13"/>
        <v/>
      </c>
      <c r="R36" s="122">
        <f t="shared" ca="1" si="14"/>
        <v>0.41249999999999987</v>
      </c>
      <c r="S36" s="122" t="str">
        <f t="shared" ca="1" si="15"/>
        <v/>
      </c>
      <c r="T36" s="122">
        <f t="shared" ca="1" si="16"/>
        <v>0.41180555555555542</v>
      </c>
      <c r="U36" s="122">
        <f t="shared" ca="1" si="17"/>
        <v>1.388888888888884E-3</v>
      </c>
      <c r="V36" s="122" t="str">
        <f t="shared" ca="1" si="18"/>
        <v/>
      </c>
      <c r="W36" s="122">
        <f t="shared" ca="1" si="19"/>
        <v>1.388888888888884E-3</v>
      </c>
      <c r="X36" s="122">
        <f t="shared" ca="1" si="23"/>
        <v>1.388888888888884E-3</v>
      </c>
      <c r="Y36" s="122">
        <f t="shared" ca="1" si="20"/>
        <v>0.40763888888888877</v>
      </c>
      <c r="Z36" s="115">
        <f t="shared" ca="1" si="24"/>
        <v>0</v>
      </c>
    </row>
    <row r="37" spans="1:26" x14ac:dyDescent="0.35">
      <c r="A37" s="115">
        <f t="shared" ca="1" si="21"/>
        <v>18</v>
      </c>
      <c r="B37" s="115">
        <f t="shared" ca="1" si="1"/>
        <v>1</v>
      </c>
      <c r="C37" s="122">
        <f t="shared" ca="1" si="6"/>
        <v>6.9444444444444447E-4</v>
      </c>
      <c r="D37" s="115">
        <f t="shared" ca="1" si="2"/>
        <v>8</v>
      </c>
      <c r="E37" s="122">
        <f t="shared" ca="1" si="7"/>
        <v>5.5555555555555558E-3</v>
      </c>
      <c r="F37" s="122">
        <f t="shared" ca="1" si="3"/>
        <v>0.40694444444444433</v>
      </c>
      <c r="G37" s="122">
        <f t="shared" ca="1" si="8"/>
        <v>2.7777777777777679E-3</v>
      </c>
      <c r="H37" s="115" t="str">
        <f t="shared" ca="1" si="4"/>
        <v>Ушел</v>
      </c>
      <c r="I37" s="122">
        <f t="shared" ca="1" si="5"/>
        <v>0.40833333333333321</v>
      </c>
      <c r="J37" s="122">
        <f ca="1">IF(ISTEXT($F37),"",MAX($P$19:P36,$F37))</f>
        <v>0.4097222222222221</v>
      </c>
      <c r="K37" s="122">
        <f ca="1">IF(ISTEXT($F37),"",MAX($R$19:R36,$F37))</f>
        <v>0.41249999999999987</v>
      </c>
      <c r="L37" s="122">
        <f t="shared" ca="1" si="22"/>
        <v>0.41180555555555542</v>
      </c>
      <c r="M37" s="122">
        <f t="shared" ca="1" si="9"/>
        <v>0.4097222222222221</v>
      </c>
      <c r="N37" s="115" t="str">
        <f t="shared" ca="1" si="10"/>
        <v/>
      </c>
      <c r="O37" s="122" t="str">
        <f t="shared" ca="1" si="11"/>
        <v/>
      </c>
      <c r="P37" s="122">
        <f t="shared" ca="1" si="12"/>
        <v>0.4097222222222221</v>
      </c>
      <c r="Q37" s="122" t="str">
        <f t="shared" ca="1" si="13"/>
        <v/>
      </c>
      <c r="R37" s="122">
        <f t="shared" ca="1" si="14"/>
        <v>0.41249999999999987</v>
      </c>
      <c r="S37" s="122" t="str">
        <f t="shared" ca="1" si="15"/>
        <v/>
      </c>
      <c r="T37" s="122">
        <f t="shared" ca="1" si="16"/>
        <v>0.41180555555555542</v>
      </c>
      <c r="U37" s="122">
        <f t="shared" ca="1" si="17"/>
        <v>1.388888888888884E-3</v>
      </c>
      <c r="V37" s="122" t="str">
        <f t="shared" ca="1" si="18"/>
        <v/>
      </c>
      <c r="W37" s="122">
        <f t="shared" ca="1" si="19"/>
        <v>1.388888888888884E-3</v>
      </c>
      <c r="X37" s="122">
        <f t="shared" ca="1" si="23"/>
        <v>1.388888888888884E-3</v>
      </c>
      <c r="Y37" s="122">
        <f t="shared" ca="1" si="20"/>
        <v>0.40833333333333321</v>
      </c>
      <c r="Z37" s="115">
        <f t="shared" ca="1" si="24"/>
        <v>0</v>
      </c>
    </row>
    <row r="38" spans="1:26" x14ac:dyDescent="0.35">
      <c r="A38" s="115">
        <f t="shared" ca="1" si="21"/>
        <v>19</v>
      </c>
      <c r="B38" s="115">
        <f t="shared" ca="1" si="1"/>
        <v>3</v>
      </c>
      <c r="C38" s="122">
        <f t="shared" ca="1" si="6"/>
        <v>2.0833333333333333E-3</v>
      </c>
      <c r="D38" s="115">
        <f t="shared" ca="1" si="2"/>
        <v>7</v>
      </c>
      <c r="E38" s="122">
        <f t="shared" ca="1" si="7"/>
        <v>4.8611111111111112E-3</v>
      </c>
      <c r="F38" s="122">
        <f t="shared" ca="1" si="3"/>
        <v>0.40902777777777766</v>
      </c>
      <c r="G38" s="122">
        <f t="shared" ca="1" si="8"/>
        <v>6.9444444444444198E-4</v>
      </c>
      <c r="H38" s="115" t="str">
        <f t="shared" ca="1" si="4"/>
        <v/>
      </c>
      <c r="I38" s="122" t="str">
        <f t="shared" ca="1" si="5"/>
        <v/>
      </c>
      <c r="J38" s="122">
        <f ca="1">IF(ISTEXT($F38),"",MAX($P$19:P37,$F38))</f>
        <v>0.4097222222222221</v>
      </c>
      <c r="K38" s="122">
        <f ca="1">IF(ISTEXT($F38),"",MAX($R$19:R37,$F38))</f>
        <v>0.41249999999999987</v>
      </c>
      <c r="L38" s="122">
        <f t="shared" ca="1" si="22"/>
        <v>0.41180555555555542</v>
      </c>
      <c r="M38" s="122">
        <f t="shared" ca="1" si="9"/>
        <v>0.4097222222222221</v>
      </c>
      <c r="N38" s="115">
        <f t="shared" ca="1" si="10"/>
        <v>1</v>
      </c>
      <c r="O38" s="122">
        <f t="shared" ca="1" si="11"/>
        <v>0.4097222222222221</v>
      </c>
      <c r="P38" s="122">
        <f t="shared" ca="1" si="12"/>
        <v>0.41458333333333319</v>
      </c>
      <c r="Q38" s="122" t="str">
        <f t="shared" ca="1" si="13"/>
        <v/>
      </c>
      <c r="R38" s="122">
        <f t="shared" ca="1" si="14"/>
        <v>0.41249999999999987</v>
      </c>
      <c r="S38" s="122" t="str">
        <f t="shared" ca="1" si="15"/>
        <v/>
      </c>
      <c r="T38" s="122">
        <f t="shared" ca="1" si="16"/>
        <v>0.41180555555555542</v>
      </c>
      <c r="U38" s="122">
        <f t="shared" ca="1" si="17"/>
        <v>6.9444444444444198E-4</v>
      </c>
      <c r="V38" s="122">
        <f t="shared" ca="1" si="18"/>
        <v>4.8611111111111112E-3</v>
      </c>
      <c r="W38" s="122">
        <f t="shared" ca="1" si="19"/>
        <v>5.5555555555555358E-3</v>
      </c>
      <c r="X38" s="122">
        <f t="shared" ca="1" si="23"/>
        <v>5.5555555555555532E-3</v>
      </c>
      <c r="Y38" s="122">
        <f t="shared" ca="1" si="20"/>
        <v>0.41458333333333319</v>
      </c>
      <c r="Z38" s="115">
        <f t="shared" ca="1" si="24"/>
        <v>0</v>
      </c>
    </row>
    <row r="39" spans="1:26" x14ac:dyDescent="0.35">
      <c r="A39" s="115">
        <f t="shared" ca="1" si="21"/>
        <v>20</v>
      </c>
      <c r="B39" s="115">
        <f t="shared" ca="1" si="1"/>
        <v>3</v>
      </c>
      <c r="C39" s="122">
        <f t="shared" ca="1" si="6"/>
        <v>2.0833333333333333E-3</v>
      </c>
      <c r="D39" s="115">
        <f t="shared" ca="1" si="2"/>
        <v>7</v>
      </c>
      <c r="E39" s="122">
        <f t="shared" ca="1" si="7"/>
        <v>4.8611111111111112E-3</v>
      </c>
      <c r="F39" s="122">
        <f t="shared" ca="1" si="3"/>
        <v>0.41111111111111098</v>
      </c>
      <c r="G39" s="122">
        <f t="shared" ca="1" si="8"/>
        <v>6.9444444444444198E-4</v>
      </c>
      <c r="H39" s="115" t="str">
        <f t="shared" ca="1" si="4"/>
        <v/>
      </c>
      <c r="I39" s="122" t="str">
        <f t="shared" ca="1" si="5"/>
        <v/>
      </c>
      <c r="J39" s="122">
        <f ca="1">IF(ISTEXT($F39),"",MAX($P$19:P38,$F39))</f>
        <v>0.41458333333333319</v>
      </c>
      <c r="K39" s="122">
        <f ca="1">IF(ISTEXT($F39),"",MAX($R$19:R38,$F39))</f>
        <v>0.41249999999999987</v>
      </c>
      <c r="L39" s="122">
        <f t="shared" ca="1" si="22"/>
        <v>0.41180555555555542</v>
      </c>
      <c r="M39" s="122">
        <f t="shared" ca="1" si="9"/>
        <v>0.41180555555555542</v>
      </c>
      <c r="N39" s="115">
        <f t="shared" ca="1" si="10"/>
        <v>3</v>
      </c>
      <c r="O39" s="122" t="str">
        <f t="shared" ca="1" si="11"/>
        <v/>
      </c>
      <c r="P39" s="122">
        <f t="shared" ca="1" si="12"/>
        <v>0.41458333333333319</v>
      </c>
      <c r="Q39" s="122" t="str">
        <f t="shared" ca="1" si="13"/>
        <v/>
      </c>
      <c r="R39" s="122">
        <f t="shared" ca="1" si="14"/>
        <v>0.41249999999999987</v>
      </c>
      <c r="S39" s="122">
        <f t="shared" ca="1" si="15"/>
        <v>0.41180555555555542</v>
      </c>
      <c r="T39" s="122">
        <f t="shared" ca="1" si="16"/>
        <v>0.41666666666666652</v>
      </c>
      <c r="U39" s="122">
        <f t="shared" ca="1" si="17"/>
        <v>6.9444444444444198E-4</v>
      </c>
      <c r="V39" s="122">
        <f t="shared" ca="1" si="18"/>
        <v>4.8611111111111112E-3</v>
      </c>
      <c r="W39" s="122">
        <f t="shared" ca="1" si="19"/>
        <v>5.5555555555555358E-3</v>
      </c>
      <c r="X39" s="122">
        <f t="shared" ca="1" si="23"/>
        <v>5.5555555555555532E-3</v>
      </c>
      <c r="Y39" s="122">
        <f t="shared" ca="1" si="20"/>
        <v>0.41666666666666652</v>
      </c>
      <c r="Z39" s="115">
        <f t="shared" ca="1" si="24"/>
        <v>0</v>
      </c>
    </row>
    <row r="40" spans="1:26" x14ac:dyDescent="0.35">
      <c r="A40" s="115">
        <f t="shared" ca="1" si="21"/>
        <v>21</v>
      </c>
      <c r="B40" s="115">
        <f t="shared" ca="1" si="1"/>
        <v>1</v>
      </c>
      <c r="C40" s="122">
        <f t="shared" ca="1" si="6"/>
        <v>6.9444444444444447E-4</v>
      </c>
      <c r="D40" s="115">
        <f t="shared" ca="1" si="2"/>
        <v>7</v>
      </c>
      <c r="E40" s="122">
        <f t="shared" ca="1" si="7"/>
        <v>4.8611111111111112E-3</v>
      </c>
      <c r="F40" s="122">
        <f t="shared" ca="1" si="3"/>
        <v>0.41180555555555542</v>
      </c>
      <c r="G40" s="122">
        <f t="shared" ca="1" si="8"/>
        <v>6.9444444444444198E-4</v>
      </c>
      <c r="H40" s="115" t="str">
        <f t="shared" ca="1" si="4"/>
        <v/>
      </c>
      <c r="I40" s="122" t="str">
        <f t="shared" ca="1" si="5"/>
        <v/>
      </c>
      <c r="J40" s="122">
        <f ca="1">IF(ISTEXT($F40),"",MAX($P$19:P39,$F40))</f>
        <v>0.41458333333333319</v>
      </c>
      <c r="K40" s="122">
        <f ca="1">IF(ISTEXT($F40),"",MAX($R$19:R39,$F40))</f>
        <v>0.41249999999999987</v>
      </c>
      <c r="L40" s="122">
        <f t="shared" ca="1" si="22"/>
        <v>0.41666666666666652</v>
      </c>
      <c r="M40" s="122">
        <f t="shared" ca="1" si="9"/>
        <v>0.41249999999999987</v>
      </c>
      <c r="N40" s="115">
        <f t="shared" ca="1" si="10"/>
        <v>2</v>
      </c>
      <c r="O40" s="122" t="str">
        <f t="shared" ca="1" si="11"/>
        <v/>
      </c>
      <c r="P40" s="122">
        <f t="shared" ca="1" si="12"/>
        <v>0.41458333333333319</v>
      </c>
      <c r="Q40" s="122">
        <f t="shared" ca="1" si="13"/>
        <v>0.41249999999999987</v>
      </c>
      <c r="R40" s="122">
        <f t="shared" ca="1" si="14"/>
        <v>0.41736111111111096</v>
      </c>
      <c r="S40" s="122" t="str">
        <f t="shared" ca="1" si="15"/>
        <v/>
      </c>
      <c r="T40" s="122">
        <f t="shared" ca="1" si="16"/>
        <v>0.41666666666666652</v>
      </c>
      <c r="U40" s="122">
        <f t="shared" ca="1" si="17"/>
        <v>6.9444444444444198E-4</v>
      </c>
      <c r="V40" s="122">
        <f t="shared" ca="1" si="18"/>
        <v>4.8611111111111112E-3</v>
      </c>
      <c r="W40" s="122">
        <f t="shared" ca="1" si="19"/>
        <v>5.5555555555555358E-3</v>
      </c>
      <c r="X40" s="122">
        <f t="shared" ca="1" si="23"/>
        <v>5.5555555555555532E-3</v>
      </c>
      <c r="Y40" s="122">
        <f t="shared" ca="1" si="20"/>
        <v>0.41736111111111096</v>
      </c>
      <c r="Z40" s="115">
        <f t="shared" ca="1" si="24"/>
        <v>0</v>
      </c>
    </row>
    <row r="41" spans="1:26" x14ac:dyDescent="0.35">
      <c r="A41" s="115">
        <f ca="1">IF(ISTEXT(F41),"Закрыто",A40+1)</f>
        <v>22</v>
      </c>
      <c r="B41" s="115">
        <f t="shared" ca="1" si="1"/>
        <v>1</v>
      </c>
      <c r="C41" s="122">
        <f t="shared" ca="1" si="6"/>
        <v>6.9444444444444447E-4</v>
      </c>
      <c r="D41" s="115">
        <f t="shared" ca="1" si="2"/>
        <v>7</v>
      </c>
      <c r="E41" s="122">
        <f t="shared" ca="1" si="7"/>
        <v>4.8611111111111112E-3</v>
      </c>
      <c r="F41" s="122">
        <f t="shared" ca="1" si="3"/>
        <v>0.41249999999999987</v>
      </c>
      <c r="G41" s="122">
        <f t="shared" ca="1" si="8"/>
        <v>2.0833333333333259E-3</v>
      </c>
      <c r="H41" s="115" t="str">
        <f t="shared" ca="1" si="4"/>
        <v>Ушел</v>
      </c>
      <c r="I41" s="122">
        <f t="shared" ca="1" si="5"/>
        <v>0.41388888888888875</v>
      </c>
      <c r="J41" s="122">
        <f ca="1">IF(ISTEXT($F41),"",MAX($P$19:P40,$F41))</f>
        <v>0.41458333333333319</v>
      </c>
      <c r="K41" s="122">
        <f ca="1">IF(ISTEXT($F41),"",MAX($R$19:R40,$F41))</f>
        <v>0.41736111111111096</v>
      </c>
      <c r="L41" s="122">
        <f t="shared" ca="1" si="22"/>
        <v>0.41666666666666652</v>
      </c>
      <c r="M41" s="122">
        <f ca="1">IF(ISTEXT(F41),"",MIN(J41:L41))</f>
        <v>0.41458333333333319</v>
      </c>
      <c r="N41" s="115" t="str">
        <f t="shared" ca="1" si="10"/>
        <v/>
      </c>
      <c r="O41" s="122" t="str">
        <f t="shared" ca="1" si="11"/>
        <v/>
      </c>
      <c r="P41" s="122">
        <f t="shared" ca="1" si="12"/>
        <v>0.41458333333333319</v>
      </c>
      <c r="Q41" s="122" t="str">
        <f t="shared" ca="1" si="13"/>
        <v/>
      </c>
      <c r="R41" s="122">
        <f t="shared" ca="1" si="14"/>
        <v>0.41736111111111096</v>
      </c>
      <c r="S41" s="122" t="str">
        <f t="shared" ca="1" si="15"/>
        <v/>
      </c>
      <c r="T41" s="122">
        <f t="shared" ca="1" si="16"/>
        <v>0.41666666666666652</v>
      </c>
      <c r="U41" s="122">
        <f t="shared" ca="1" si="17"/>
        <v>1.388888888888884E-3</v>
      </c>
      <c r="V41" s="122" t="str">
        <f t="shared" ca="1" si="18"/>
        <v/>
      </c>
      <c r="W41" s="122">
        <f t="shared" ca="1" si="19"/>
        <v>1.388888888888884E-3</v>
      </c>
      <c r="X41" s="122">
        <f t="shared" ca="1" si="23"/>
        <v>1.388888888888884E-3</v>
      </c>
      <c r="Y41" s="122">
        <f t="shared" ca="1" si="20"/>
        <v>0.41388888888888875</v>
      </c>
      <c r="Z41" s="115">
        <f t="shared" ca="1" si="24"/>
        <v>0</v>
      </c>
    </row>
    <row r="42" spans="1:26" x14ac:dyDescent="0.35">
      <c r="A42" s="115">
        <f t="shared" ca="1" si="21"/>
        <v>23</v>
      </c>
      <c r="B42" s="115">
        <f t="shared" ca="1" si="1"/>
        <v>1</v>
      </c>
      <c r="C42" s="122">
        <f t="shared" ca="1" si="6"/>
        <v>6.9444444444444447E-4</v>
      </c>
      <c r="D42" s="115">
        <f t="shared" ca="1" si="2"/>
        <v>3</v>
      </c>
      <c r="E42" s="122">
        <f t="shared" ca="1" si="7"/>
        <v>2.0833333333333333E-3</v>
      </c>
      <c r="F42" s="122">
        <f t="shared" ca="1" si="3"/>
        <v>0.41319444444444431</v>
      </c>
      <c r="G42" s="122">
        <f t="shared" ca="1" si="8"/>
        <v>1.388888888888884E-3</v>
      </c>
      <c r="H42" s="115" t="str">
        <f t="shared" ca="1" si="4"/>
        <v/>
      </c>
      <c r="I42" s="122" t="str">
        <f t="shared" ca="1" si="5"/>
        <v/>
      </c>
      <c r="J42" s="122">
        <f ca="1">IF(ISTEXT($F42),"",MAX($P$19:P41,$F42))</f>
        <v>0.41458333333333319</v>
      </c>
      <c r="K42" s="122">
        <f ca="1">IF(ISTEXT($F42),"",MAX($R$19:R41,$F42))</f>
        <v>0.41736111111111096</v>
      </c>
      <c r="L42" s="122">
        <f t="shared" ca="1" si="22"/>
        <v>0.41666666666666652</v>
      </c>
      <c r="M42" s="122">
        <f t="shared" ca="1" si="9"/>
        <v>0.41458333333333319</v>
      </c>
      <c r="N42" s="115">
        <f t="shared" ca="1" si="10"/>
        <v>1</v>
      </c>
      <c r="O42" s="122">
        <f t="shared" ca="1" si="11"/>
        <v>0.41458333333333319</v>
      </c>
      <c r="P42" s="122">
        <f t="shared" ca="1" si="12"/>
        <v>0.41666666666666652</v>
      </c>
      <c r="Q42" s="122" t="str">
        <f t="shared" ca="1" si="13"/>
        <v/>
      </c>
      <c r="R42" s="122">
        <f t="shared" ca="1" si="14"/>
        <v>0.41736111111111096</v>
      </c>
      <c r="S42" s="122" t="str">
        <f t="shared" ca="1" si="15"/>
        <v/>
      </c>
      <c r="T42" s="122">
        <f t="shared" ca="1" si="16"/>
        <v>0.41666666666666652</v>
      </c>
      <c r="U42" s="122">
        <f t="shared" ca="1" si="17"/>
        <v>1.388888888888884E-3</v>
      </c>
      <c r="V42" s="122">
        <f t="shared" ca="1" si="18"/>
        <v>2.0833333333333333E-3</v>
      </c>
      <c r="W42" s="122">
        <f ca="1">IFERROR(Y42-F42,"")</f>
        <v>3.4722222222222099E-3</v>
      </c>
      <c r="X42" s="122">
        <f t="shared" ca="1" si="23"/>
        <v>3.4722222222222173E-3</v>
      </c>
      <c r="Y42" s="122">
        <f t="shared" ca="1" si="20"/>
        <v>0.41666666666666652</v>
      </c>
      <c r="Z42" s="115">
        <f t="shared" ca="1" si="24"/>
        <v>0</v>
      </c>
    </row>
    <row r="43" spans="1:26" x14ac:dyDescent="0.35">
      <c r="A43" s="115">
        <f t="shared" ca="1" si="21"/>
        <v>24</v>
      </c>
      <c r="B43" s="115">
        <f t="shared" ca="1" si="1"/>
        <v>5</v>
      </c>
      <c r="C43" s="122">
        <f ca="1">B43/1440</f>
        <v>3.472222222222222E-3</v>
      </c>
      <c r="D43" s="115">
        <f t="shared" ca="1" si="2"/>
        <v>3</v>
      </c>
      <c r="E43" s="122">
        <f ca="1">D43/1440</f>
        <v>2.0833333333333333E-3</v>
      </c>
      <c r="F43" s="122">
        <f t="shared" ca="1" si="3"/>
        <v>0.41666666666666652</v>
      </c>
      <c r="G43" s="122">
        <f t="shared" ca="1" si="8"/>
        <v>0</v>
      </c>
      <c r="H43" s="115" t="str">
        <f t="shared" ca="1" si="4"/>
        <v/>
      </c>
      <c r="I43" s="122" t="str">
        <f t="shared" ca="1" si="5"/>
        <v/>
      </c>
      <c r="J43" s="122">
        <f ca="1">IF(ISTEXT($F43),"",MAX($P$19:P42,$F43))</f>
        <v>0.41666666666666652</v>
      </c>
      <c r="K43" s="122">
        <f ca="1">IF(ISTEXT($F43),"",MAX($R$19:R42,$F43))</f>
        <v>0.41736111111111096</v>
      </c>
      <c r="L43" s="122">
        <f t="shared" ca="1" si="22"/>
        <v>0.41666666666666652</v>
      </c>
      <c r="M43" s="122">
        <f t="shared" ca="1" si="9"/>
        <v>0.41666666666666652</v>
      </c>
      <c r="N43" s="115">
        <f t="shared" ca="1" si="10"/>
        <v>1</v>
      </c>
      <c r="O43" s="122">
        <f t="shared" ca="1" si="11"/>
        <v>0.41666666666666652</v>
      </c>
      <c r="P43" s="122">
        <f t="shared" ca="1" si="12"/>
        <v>0.41874999999999984</v>
      </c>
      <c r="Q43" s="122" t="str">
        <f t="shared" ca="1" si="13"/>
        <v/>
      </c>
      <c r="R43" s="122">
        <f t="shared" ca="1" si="14"/>
        <v>0.41736111111111096</v>
      </c>
      <c r="S43" s="122" t="str">
        <f t="shared" ca="1" si="15"/>
        <v/>
      </c>
      <c r="T43" s="122">
        <f t="shared" ca="1" si="16"/>
        <v>0.41666666666666652</v>
      </c>
      <c r="U43" s="122">
        <f t="shared" ca="1" si="17"/>
        <v>0</v>
      </c>
      <c r="V43" s="122">
        <f t="shared" ca="1" si="18"/>
        <v>2.0833333333333333E-3</v>
      </c>
      <c r="W43" s="122">
        <f t="shared" ca="1" si="19"/>
        <v>2.0833333333333259E-3</v>
      </c>
      <c r="X43" s="122">
        <f t="shared" ca="1" si="23"/>
        <v>2.0833333333333333E-3</v>
      </c>
      <c r="Y43" s="122">
        <f t="shared" ca="1" si="20"/>
        <v>0.41874999999999984</v>
      </c>
      <c r="Z43" s="115">
        <f t="shared" ca="1" si="24"/>
        <v>0</v>
      </c>
    </row>
    <row r="44" spans="1:26" x14ac:dyDescent="0.35">
      <c r="A44" s="115">
        <f t="shared" ca="1" si="21"/>
        <v>25</v>
      </c>
      <c r="B44" s="115">
        <f t="shared" ca="1" si="1"/>
        <v>10</v>
      </c>
      <c r="C44" s="122">
        <f t="shared" ca="1" si="6"/>
        <v>6.9444444444444441E-3</v>
      </c>
      <c r="D44" s="115">
        <f t="shared" ca="1" si="2"/>
        <v>7</v>
      </c>
      <c r="E44" s="122">
        <f t="shared" ca="1" si="7"/>
        <v>4.8611111111111112E-3</v>
      </c>
      <c r="F44" s="122">
        <f t="shared" ca="1" si="3"/>
        <v>0.42361111111111094</v>
      </c>
      <c r="G44" s="122">
        <f t="shared" ca="1" si="8"/>
        <v>0</v>
      </c>
      <c r="H44" s="115" t="str">
        <f t="shared" ca="1" si="4"/>
        <v/>
      </c>
      <c r="I44" s="122" t="str">
        <f t="shared" ca="1" si="5"/>
        <v/>
      </c>
      <c r="J44" s="122">
        <f ca="1">IF(ISTEXT($F44),"",MAX($P$19:P43,$F44))</f>
        <v>0.42361111111111094</v>
      </c>
      <c r="K44" s="122">
        <f ca="1">IF(ISTEXT($F44),"",MAX($R$19:R43,$F44))</f>
        <v>0.42361111111111094</v>
      </c>
      <c r="L44" s="122">
        <f t="shared" ca="1" si="22"/>
        <v>0.42361111111111094</v>
      </c>
      <c r="M44" s="122">
        <f t="shared" ca="1" si="9"/>
        <v>0.42361111111111094</v>
      </c>
      <c r="N44" s="115">
        <f t="shared" ca="1" si="10"/>
        <v>1</v>
      </c>
      <c r="O44" s="122">
        <f t="shared" ca="1" si="11"/>
        <v>0.42361111111111094</v>
      </c>
      <c r="P44" s="122">
        <f t="shared" ca="1" si="12"/>
        <v>0.42847222222222203</v>
      </c>
      <c r="Q44" s="122" t="str">
        <f t="shared" ca="1" si="13"/>
        <v/>
      </c>
      <c r="R44" s="122">
        <f t="shared" ca="1" si="14"/>
        <v>0.41736111111111096</v>
      </c>
      <c r="S44" s="122" t="str">
        <f t="shared" ca="1" si="15"/>
        <v/>
      </c>
      <c r="T44" s="122">
        <f t="shared" ca="1" si="16"/>
        <v>0.41666666666666652</v>
      </c>
      <c r="U44" s="122">
        <f t="shared" ca="1" si="17"/>
        <v>0</v>
      </c>
      <c r="V44" s="122">
        <f t="shared" ca="1" si="18"/>
        <v>4.8611111111111112E-3</v>
      </c>
      <c r="W44" s="122">
        <f t="shared" ca="1" si="19"/>
        <v>4.8611111111110938E-3</v>
      </c>
      <c r="X44" s="122">
        <f t="shared" ca="1" si="23"/>
        <v>4.8611111111111112E-3</v>
      </c>
      <c r="Y44" s="122">
        <f t="shared" ca="1" si="20"/>
        <v>0.42847222222222203</v>
      </c>
      <c r="Z44" s="115">
        <f t="shared" ca="1" si="24"/>
        <v>0</v>
      </c>
    </row>
    <row r="45" spans="1:26" x14ac:dyDescent="0.35">
      <c r="A45" s="115">
        <f t="shared" ca="1" si="21"/>
        <v>26</v>
      </c>
      <c r="B45" s="115">
        <f t="shared" ca="1" si="1"/>
        <v>1</v>
      </c>
      <c r="C45" s="122">
        <f t="shared" ca="1" si="6"/>
        <v>6.9444444444444447E-4</v>
      </c>
      <c r="D45" s="115">
        <f t="shared" ca="1" si="2"/>
        <v>8</v>
      </c>
      <c r="E45" s="122">
        <f t="shared" ca="1" si="7"/>
        <v>5.5555555555555558E-3</v>
      </c>
      <c r="F45" s="122">
        <f t="shared" ca="1" si="3"/>
        <v>0.42430555555555538</v>
      </c>
      <c r="G45" s="122">
        <f ca="1">IF(ISTEXT(F45),"",M45-F45)</f>
        <v>0</v>
      </c>
      <c r="H45" s="115" t="str">
        <f t="shared" ca="1" si="4"/>
        <v/>
      </c>
      <c r="I45" s="122" t="str">
        <f t="shared" ca="1" si="5"/>
        <v/>
      </c>
      <c r="J45" s="122">
        <f ca="1">IF(ISTEXT($F45),"",MAX($P$19:P44,$F45))</f>
        <v>0.42847222222222203</v>
      </c>
      <c r="K45" s="122">
        <f ca="1">IF(ISTEXT($F45),"",MAX($R$19:R44,$F45))</f>
        <v>0.42430555555555538</v>
      </c>
      <c r="L45" s="122">
        <f t="shared" ca="1" si="22"/>
        <v>0.42430555555555538</v>
      </c>
      <c r="M45" s="122">
        <f t="shared" ca="1" si="9"/>
        <v>0.42430555555555538</v>
      </c>
      <c r="N45" s="115">
        <f t="shared" ca="1" si="10"/>
        <v>2</v>
      </c>
      <c r="O45" s="122" t="str">
        <f t="shared" ca="1" si="11"/>
        <v/>
      </c>
      <c r="P45" s="122">
        <f t="shared" ca="1" si="12"/>
        <v>0.42847222222222203</v>
      </c>
      <c r="Q45" s="122">
        <f t="shared" ca="1" si="13"/>
        <v>0.42430555555555538</v>
      </c>
      <c r="R45" s="122">
        <f t="shared" ca="1" si="14"/>
        <v>0.42986111111111092</v>
      </c>
      <c r="S45" s="122" t="str">
        <f t="shared" ca="1" si="15"/>
        <v/>
      </c>
      <c r="T45" s="122">
        <f t="shared" ca="1" si="16"/>
        <v>0.41666666666666652</v>
      </c>
      <c r="U45" s="122">
        <f t="shared" ca="1" si="17"/>
        <v>0</v>
      </c>
      <c r="V45" s="122">
        <f t="shared" ca="1" si="18"/>
        <v>5.5555555555555558E-3</v>
      </c>
      <c r="W45" s="122">
        <f t="shared" ca="1" si="19"/>
        <v>5.5555555555555358E-3</v>
      </c>
      <c r="X45" s="122">
        <f t="shared" ca="1" si="23"/>
        <v>5.5555555555555558E-3</v>
      </c>
      <c r="Y45" s="122">
        <f t="shared" ca="1" si="20"/>
        <v>0.42986111111111092</v>
      </c>
      <c r="Z45" s="115">
        <f t="shared" ca="1" si="24"/>
        <v>0</v>
      </c>
    </row>
    <row r="46" spans="1:26" x14ac:dyDescent="0.35">
      <c r="A46" s="115">
        <f t="shared" ca="1" si="21"/>
        <v>27</v>
      </c>
      <c r="B46" s="115">
        <f t="shared" ca="1" si="1"/>
        <v>3</v>
      </c>
      <c r="C46" s="122">
        <f t="shared" ca="1" si="6"/>
        <v>2.0833333333333333E-3</v>
      </c>
      <c r="D46" s="115">
        <f t="shared" ca="1" si="2"/>
        <v>3</v>
      </c>
      <c r="E46" s="122">
        <f t="shared" ca="1" si="7"/>
        <v>2.0833333333333333E-3</v>
      </c>
      <c r="F46" s="122">
        <f t="shared" ca="1" si="3"/>
        <v>0.42638888888888871</v>
      </c>
      <c r="G46" s="122">
        <f t="shared" ca="1" si="8"/>
        <v>0</v>
      </c>
      <c r="H46" s="115" t="str">
        <f t="shared" ca="1" si="4"/>
        <v/>
      </c>
      <c r="I46" s="122" t="str">
        <f t="shared" ca="1" si="5"/>
        <v/>
      </c>
      <c r="J46" s="122">
        <f ca="1">IF(ISTEXT($F46),"",MAX($P$19:P45,$F46))</f>
        <v>0.42847222222222203</v>
      </c>
      <c r="K46" s="122">
        <f ca="1">IF(ISTEXT($F46),"",MAX($R$19:R45,$F46))</f>
        <v>0.42986111111111092</v>
      </c>
      <c r="L46" s="122">
        <f t="shared" ca="1" si="22"/>
        <v>0.42638888888888871</v>
      </c>
      <c r="M46" s="122">
        <f t="shared" ca="1" si="9"/>
        <v>0.42638888888888871</v>
      </c>
      <c r="N46" s="115">
        <f t="shared" ca="1" si="10"/>
        <v>3</v>
      </c>
      <c r="O46" s="122" t="str">
        <f t="shared" ca="1" si="11"/>
        <v/>
      </c>
      <c r="P46" s="122">
        <f t="shared" ca="1" si="12"/>
        <v>0.42847222222222203</v>
      </c>
      <c r="Q46" s="122" t="str">
        <f t="shared" ca="1" si="13"/>
        <v/>
      </c>
      <c r="R46" s="122">
        <f t="shared" ca="1" si="14"/>
        <v>0.42986111111111092</v>
      </c>
      <c r="S46" s="122">
        <f t="shared" ca="1" si="15"/>
        <v>0.42638888888888871</v>
      </c>
      <c r="T46" s="122">
        <f t="shared" ca="1" si="16"/>
        <v>0.42847222222222203</v>
      </c>
      <c r="U46" s="122">
        <f t="shared" ca="1" si="17"/>
        <v>0</v>
      </c>
      <c r="V46" s="122">
        <f t="shared" ca="1" si="18"/>
        <v>2.0833333333333333E-3</v>
      </c>
      <c r="W46" s="122">
        <f t="shared" ca="1" si="19"/>
        <v>2.0833333333333259E-3</v>
      </c>
      <c r="X46" s="122">
        <f t="shared" ca="1" si="23"/>
        <v>2.0833333333333333E-3</v>
      </c>
      <c r="Y46" s="122">
        <f t="shared" ca="1" si="20"/>
        <v>0.42847222222222203</v>
      </c>
      <c r="Z46" s="115">
        <f t="shared" ca="1" si="24"/>
        <v>0</v>
      </c>
    </row>
    <row r="47" spans="1:26" x14ac:dyDescent="0.35">
      <c r="A47" s="115">
        <f t="shared" ca="1" si="21"/>
        <v>28</v>
      </c>
      <c r="B47" s="115">
        <f t="shared" ca="1" si="1"/>
        <v>1</v>
      </c>
      <c r="C47" s="122">
        <f t="shared" ca="1" si="6"/>
        <v>6.9444444444444447E-4</v>
      </c>
      <c r="D47" s="115">
        <f t="shared" ca="1" si="2"/>
        <v>7</v>
      </c>
      <c r="E47" s="122">
        <f t="shared" ca="1" si="7"/>
        <v>4.8611111111111112E-3</v>
      </c>
      <c r="F47" s="122">
        <f t="shared" ca="1" si="3"/>
        <v>0.42708333333333315</v>
      </c>
      <c r="G47" s="122">
        <f t="shared" ca="1" si="8"/>
        <v>1.388888888888884E-3</v>
      </c>
      <c r="H47" s="115" t="str">
        <f t="shared" ca="1" si="4"/>
        <v/>
      </c>
      <c r="I47" s="122" t="str">
        <f t="shared" ca="1" si="5"/>
        <v/>
      </c>
      <c r="J47" s="122">
        <f ca="1">IF(ISTEXT($F47),"",MAX($P$19:P46,$F47))</f>
        <v>0.42847222222222203</v>
      </c>
      <c r="K47" s="122">
        <f ca="1">IF(ISTEXT($F47),"",MAX($R$19:R46,$F47))</f>
        <v>0.42986111111111092</v>
      </c>
      <c r="L47" s="122">
        <f t="shared" ca="1" si="22"/>
        <v>0.42847222222222203</v>
      </c>
      <c r="M47" s="122">
        <f t="shared" ca="1" si="9"/>
        <v>0.42847222222222203</v>
      </c>
      <c r="N47" s="115">
        <f t="shared" ca="1" si="10"/>
        <v>1</v>
      </c>
      <c r="O47" s="122">
        <f t="shared" ca="1" si="11"/>
        <v>0.42847222222222203</v>
      </c>
      <c r="P47" s="122">
        <f ca="1">IF($N47=1,O47+$E47,P46)</f>
        <v>0.43333333333333313</v>
      </c>
      <c r="Q47" s="122" t="str">
        <f t="shared" ca="1" si="13"/>
        <v/>
      </c>
      <c r="R47" s="122">
        <f ca="1">IF($N47=2,Q47+$E47,R46)</f>
        <v>0.42986111111111092</v>
      </c>
      <c r="S47" s="122" t="str">
        <f t="shared" ca="1" si="15"/>
        <v/>
      </c>
      <c r="T47" s="122">
        <f t="shared" ca="1" si="16"/>
        <v>0.42847222222222203</v>
      </c>
      <c r="U47" s="122">
        <f t="shared" ca="1" si="17"/>
        <v>1.388888888888884E-3</v>
      </c>
      <c r="V47" s="122">
        <f t="shared" ca="1" si="18"/>
        <v>4.8611111111111112E-3</v>
      </c>
      <c r="W47" s="122">
        <f t="shared" ca="1" si="19"/>
        <v>6.2499999999999778E-3</v>
      </c>
      <c r="X47" s="122">
        <f t="shared" ca="1" si="23"/>
        <v>6.2499999999999951E-3</v>
      </c>
      <c r="Y47" s="122">
        <f t="shared" ca="1" si="20"/>
        <v>0.43333333333333313</v>
      </c>
      <c r="Z47" s="115">
        <f t="shared" ca="1" si="24"/>
        <v>0</v>
      </c>
    </row>
    <row r="48" spans="1:26" x14ac:dyDescent="0.35">
      <c r="A48" s="115">
        <f t="shared" ca="1" si="21"/>
        <v>29</v>
      </c>
      <c r="B48" s="115">
        <f t="shared" ca="1" si="1"/>
        <v>1</v>
      </c>
      <c r="C48" s="122">
        <f t="shared" ca="1" si="6"/>
        <v>6.9444444444444447E-4</v>
      </c>
      <c r="D48" s="115">
        <f t="shared" ca="1" si="2"/>
        <v>8</v>
      </c>
      <c r="E48" s="122">
        <f t="shared" ca="1" si="7"/>
        <v>5.5555555555555558E-3</v>
      </c>
      <c r="F48" s="122">
        <f t="shared" ca="1" si="3"/>
        <v>0.42777777777777759</v>
      </c>
      <c r="G48" s="122">
        <f t="shared" ca="1" si="8"/>
        <v>6.9444444444444198E-4</v>
      </c>
      <c r="H48" s="115" t="str">
        <f t="shared" ca="1" si="4"/>
        <v/>
      </c>
      <c r="I48" s="122" t="str">
        <f t="shared" ca="1" si="5"/>
        <v/>
      </c>
      <c r="J48" s="122">
        <f ca="1">IF(ISTEXT($F48),"",MAX($P$19:P47,$F48))</f>
        <v>0.43333333333333313</v>
      </c>
      <c r="K48" s="122">
        <f ca="1">IF(ISTEXT($F48),"",MAX($R$19:R47,$F48))</f>
        <v>0.42986111111111092</v>
      </c>
      <c r="L48" s="122">
        <f t="shared" ca="1" si="22"/>
        <v>0.42847222222222203</v>
      </c>
      <c r="M48" s="122">
        <f t="shared" ca="1" si="9"/>
        <v>0.42847222222222203</v>
      </c>
      <c r="N48" s="115">
        <f t="shared" ca="1" si="10"/>
        <v>3</v>
      </c>
      <c r="O48" s="122" t="str">
        <f t="shared" ca="1" si="11"/>
        <v/>
      </c>
      <c r="P48" s="122">
        <f t="shared" ca="1" si="12"/>
        <v>0.43333333333333313</v>
      </c>
      <c r="Q48" s="122" t="str">
        <f ca="1">IF($N48=2,M48,"")</f>
        <v/>
      </c>
      <c r="R48" s="122">
        <f t="shared" ca="1" si="14"/>
        <v>0.42986111111111092</v>
      </c>
      <c r="S48" s="122">
        <f ca="1">IF($N48=3,M48,"")</f>
        <v>0.42847222222222203</v>
      </c>
      <c r="T48" s="122">
        <f ca="1">IF($N48=3,S48+$E48,T47)</f>
        <v>0.43402777777777757</v>
      </c>
      <c r="U48" s="122">
        <f t="shared" ca="1" si="17"/>
        <v>6.9444444444444198E-4</v>
      </c>
      <c r="V48" s="122">
        <f t="shared" ca="1" si="18"/>
        <v>5.5555555555555558E-3</v>
      </c>
      <c r="W48" s="122">
        <f t="shared" ca="1" si="19"/>
        <v>6.2499999999999778E-3</v>
      </c>
      <c r="X48" s="122">
        <f ca="1">IFERROR(IF(H48="Ушел",W48,$E48+G48),"")</f>
        <v>6.2499999999999977E-3</v>
      </c>
      <c r="Y48" s="122">
        <f t="shared" ca="1" si="20"/>
        <v>0.43402777777777757</v>
      </c>
      <c r="Z48" s="115">
        <f t="shared" ca="1" si="24"/>
        <v>0</v>
      </c>
    </row>
    <row r="49" spans="1:26" x14ac:dyDescent="0.35">
      <c r="A49" s="115">
        <f t="shared" ca="1" si="21"/>
        <v>30</v>
      </c>
      <c r="B49" s="115">
        <f t="shared" ca="1" si="1"/>
        <v>10</v>
      </c>
      <c r="C49" s="122">
        <f t="shared" ca="1" si="6"/>
        <v>6.9444444444444441E-3</v>
      </c>
      <c r="D49" s="115">
        <f t="shared" ca="1" si="2"/>
        <v>8</v>
      </c>
      <c r="E49" s="122">
        <f t="shared" ca="1" si="7"/>
        <v>5.5555555555555558E-3</v>
      </c>
      <c r="F49" s="122">
        <f t="shared" ca="1" si="3"/>
        <v>0.43472222222222201</v>
      </c>
      <c r="G49" s="122">
        <f t="shared" ca="1" si="8"/>
        <v>0</v>
      </c>
      <c r="H49" s="115" t="str">
        <f t="shared" ca="1" si="4"/>
        <v/>
      </c>
      <c r="I49" s="122" t="str">
        <f t="shared" ca="1" si="5"/>
        <v/>
      </c>
      <c r="J49" s="122">
        <f ca="1">IF(ISTEXT($F49),"",MAX($P$19:P48,$F49))</f>
        <v>0.43472222222222201</v>
      </c>
      <c r="K49" s="122">
        <f ca="1">IF(ISTEXT($F49),"",MAX($R$19:R48,$F49))</f>
        <v>0.43472222222222201</v>
      </c>
      <c r="L49" s="122">
        <f t="shared" ca="1" si="22"/>
        <v>0.43472222222222201</v>
      </c>
      <c r="M49" s="122">
        <f t="shared" ca="1" si="9"/>
        <v>0.43472222222222201</v>
      </c>
      <c r="N49" s="115">
        <f t="shared" ca="1" si="10"/>
        <v>1</v>
      </c>
      <c r="O49" s="122">
        <f t="shared" ca="1" si="11"/>
        <v>0.43472222222222201</v>
      </c>
      <c r="P49" s="122">
        <f t="shared" ca="1" si="12"/>
        <v>0.44027777777777755</v>
      </c>
      <c r="Q49" s="122" t="str">
        <f t="shared" ca="1" si="13"/>
        <v/>
      </c>
      <c r="R49" s="122">
        <f t="shared" ca="1" si="14"/>
        <v>0.42986111111111092</v>
      </c>
      <c r="S49" s="122" t="str">
        <f t="shared" ca="1" si="15"/>
        <v/>
      </c>
      <c r="T49" s="122">
        <f t="shared" ca="1" si="16"/>
        <v>0.43402777777777757</v>
      </c>
      <c r="U49" s="122">
        <f t="shared" ca="1" si="17"/>
        <v>0</v>
      </c>
      <c r="V49" s="122">
        <f t="shared" ca="1" si="18"/>
        <v>5.5555555555555558E-3</v>
      </c>
      <c r="W49" s="122">
        <f t="shared" ca="1" si="19"/>
        <v>5.5555555555555358E-3</v>
      </c>
      <c r="X49" s="122">
        <f t="shared" ca="1" si="23"/>
        <v>5.5555555555555558E-3</v>
      </c>
      <c r="Y49" s="122">
        <f t="shared" ca="1" si="20"/>
        <v>0.44027777777777755</v>
      </c>
      <c r="Z49" s="115">
        <f t="shared" ca="1" si="24"/>
        <v>0</v>
      </c>
    </row>
    <row r="50" spans="1:26" x14ac:dyDescent="0.35">
      <c r="A50" s="115">
        <f t="shared" ca="1" si="21"/>
        <v>31</v>
      </c>
      <c r="B50" s="115">
        <f t="shared" ca="1" si="1"/>
        <v>3</v>
      </c>
      <c r="C50" s="122">
        <f t="shared" ca="1" si="6"/>
        <v>2.0833333333333333E-3</v>
      </c>
      <c r="D50" s="115">
        <f t="shared" ca="1" si="2"/>
        <v>3</v>
      </c>
      <c r="E50" s="122">
        <f t="shared" ca="1" si="7"/>
        <v>2.0833333333333333E-3</v>
      </c>
      <c r="F50" s="122">
        <f t="shared" ca="1" si="3"/>
        <v>0.43680555555555534</v>
      </c>
      <c r="G50" s="122">
        <f t="shared" ca="1" si="8"/>
        <v>0</v>
      </c>
      <c r="H50" s="115" t="str">
        <f t="shared" ca="1" si="4"/>
        <v/>
      </c>
      <c r="I50" s="122" t="str">
        <f t="shared" ca="1" si="5"/>
        <v/>
      </c>
      <c r="J50" s="122">
        <f ca="1">IF(ISTEXT($F50),"",MAX($P$19:P49,$F50))</f>
        <v>0.44027777777777755</v>
      </c>
      <c r="K50" s="122">
        <f ca="1">IF(ISTEXT($F50),"",MAX($R$19:R49,$F50))</f>
        <v>0.43680555555555534</v>
      </c>
      <c r="L50" s="122">
        <f t="shared" ca="1" si="22"/>
        <v>0.43680555555555534</v>
      </c>
      <c r="M50" s="122">
        <f t="shared" ca="1" si="9"/>
        <v>0.43680555555555534</v>
      </c>
      <c r="N50" s="115">
        <f t="shared" ca="1" si="10"/>
        <v>2</v>
      </c>
      <c r="O50" s="122" t="str">
        <f t="shared" ca="1" si="11"/>
        <v/>
      </c>
      <c r="P50" s="122">
        <f t="shared" ca="1" si="12"/>
        <v>0.44027777777777755</v>
      </c>
      <c r="Q50" s="122">
        <f t="shared" ca="1" si="13"/>
        <v>0.43680555555555534</v>
      </c>
      <c r="R50" s="122">
        <f t="shared" ca="1" si="14"/>
        <v>0.43888888888888866</v>
      </c>
      <c r="S50" s="122" t="str">
        <f t="shared" ca="1" si="15"/>
        <v/>
      </c>
      <c r="T50" s="122">
        <f t="shared" ca="1" si="16"/>
        <v>0.43402777777777757</v>
      </c>
      <c r="U50" s="122">
        <f t="shared" ca="1" si="17"/>
        <v>0</v>
      </c>
      <c r="V50" s="122">
        <f t="shared" ca="1" si="18"/>
        <v>2.0833333333333333E-3</v>
      </c>
      <c r="W50" s="122">
        <f t="shared" ca="1" si="19"/>
        <v>2.0833333333333259E-3</v>
      </c>
      <c r="X50" s="122">
        <f t="shared" ca="1" si="23"/>
        <v>2.0833333333333333E-3</v>
      </c>
      <c r="Y50" s="122">
        <f t="shared" ca="1" si="20"/>
        <v>0.43888888888888866</v>
      </c>
      <c r="Z50" s="115">
        <f t="shared" ca="1" si="24"/>
        <v>0</v>
      </c>
    </row>
    <row r="51" spans="1:26" x14ac:dyDescent="0.35">
      <c r="A51" s="115">
        <f t="shared" ca="1" si="21"/>
        <v>32</v>
      </c>
      <c r="B51" s="115">
        <f t="shared" ca="1" si="1"/>
        <v>3</v>
      </c>
      <c r="C51" s="122">
        <f t="shared" ca="1" si="6"/>
        <v>2.0833333333333333E-3</v>
      </c>
      <c r="D51" s="115">
        <f t="shared" ca="1" si="2"/>
        <v>8</v>
      </c>
      <c r="E51" s="122">
        <f t="shared" ca="1" si="7"/>
        <v>5.5555555555555558E-3</v>
      </c>
      <c r="F51" s="122">
        <f t="shared" ca="1" si="3"/>
        <v>0.43888888888888866</v>
      </c>
      <c r="G51" s="122">
        <f t="shared" ca="1" si="8"/>
        <v>0</v>
      </c>
      <c r="H51" s="115" t="str">
        <f t="shared" ca="1" si="4"/>
        <v/>
      </c>
      <c r="I51" s="122" t="str">
        <f t="shared" ca="1" si="5"/>
        <v/>
      </c>
      <c r="J51" s="122">
        <f ca="1">IF(ISTEXT($F51),"",MAX($P$19:P50,$F51))</f>
        <v>0.44027777777777755</v>
      </c>
      <c r="K51" s="122">
        <f ca="1">IF(ISTEXT($F51),"",MAX($R$19:R50,$F51))</f>
        <v>0.43888888888888866</v>
      </c>
      <c r="L51" s="122">
        <f t="shared" ca="1" si="22"/>
        <v>0.43888888888888866</v>
      </c>
      <c r="M51" s="122">
        <f t="shared" ca="1" si="9"/>
        <v>0.43888888888888866</v>
      </c>
      <c r="N51" s="115">
        <f t="shared" ca="1" si="10"/>
        <v>2</v>
      </c>
      <c r="O51" s="122" t="str">
        <f t="shared" ca="1" si="11"/>
        <v/>
      </c>
      <c r="P51" s="122">
        <f t="shared" ca="1" si="12"/>
        <v>0.44027777777777755</v>
      </c>
      <c r="Q51" s="122">
        <f t="shared" ca="1" si="13"/>
        <v>0.43888888888888866</v>
      </c>
      <c r="R51" s="122">
        <f t="shared" ca="1" si="14"/>
        <v>0.4444444444444442</v>
      </c>
      <c r="S51" s="122" t="str">
        <f t="shared" ca="1" si="15"/>
        <v/>
      </c>
      <c r="T51" s="122">
        <f t="shared" ca="1" si="16"/>
        <v>0.43402777777777757</v>
      </c>
      <c r="U51" s="122">
        <f t="shared" ca="1" si="17"/>
        <v>0</v>
      </c>
      <c r="V51" s="122">
        <f t="shared" ca="1" si="18"/>
        <v>5.5555555555555558E-3</v>
      </c>
      <c r="W51" s="122">
        <f t="shared" ca="1" si="19"/>
        <v>5.5555555555555358E-3</v>
      </c>
      <c r="X51" s="122">
        <f t="shared" ca="1" si="23"/>
        <v>5.5555555555555558E-3</v>
      </c>
      <c r="Y51" s="122">
        <f t="shared" ca="1" si="20"/>
        <v>0.4444444444444442</v>
      </c>
      <c r="Z51" s="115">
        <f t="shared" ca="1" si="24"/>
        <v>0</v>
      </c>
    </row>
    <row r="52" spans="1:26" x14ac:dyDescent="0.35">
      <c r="A52" s="115">
        <f t="shared" ca="1" si="21"/>
        <v>33</v>
      </c>
      <c r="B52" s="115">
        <f t="shared" ca="1" si="1"/>
        <v>10</v>
      </c>
      <c r="C52" s="122">
        <f t="shared" ca="1" si="6"/>
        <v>6.9444444444444441E-3</v>
      </c>
      <c r="D52" s="115">
        <f t="shared" ca="1" si="2"/>
        <v>7</v>
      </c>
      <c r="E52" s="122">
        <f t="shared" ca="1" si="7"/>
        <v>4.8611111111111112E-3</v>
      </c>
      <c r="F52" s="122">
        <f t="shared" ca="1" si="3"/>
        <v>0.44583333333333308</v>
      </c>
      <c r="G52" s="122">
        <f t="shared" ca="1" si="8"/>
        <v>0</v>
      </c>
      <c r="H52" s="115" t="str">
        <f t="shared" ca="1" si="4"/>
        <v/>
      </c>
      <c r="I52" s="122" t="str">
        <f t="shared" ca="1" si="5"/>
        <v/>
      </c>
      <c r="J52" s="122">
        <f ca="1">IF(ISTEXT($F52),"",MAX($P$19:P51,$F52))</f>
        <v>0.44583333333333308</v>
      </c>
      <c r="K52" s="122">
        <f ca="1">IF(ISTEXT($F52),"",MAX($R$19:R51,$F52))</f>
        <v>0.44583333333333308</v>
      </c>
      <c r="L52" s="122">
        <f t="shared" ca="1" si="22"/>
        <v>0.44583333333333308</v>
      </c>
      <c r="M52" s="122">
        <f t="shared" ca="1" si="9"/>
        <v>0.44583333333333308</v>
      </c>
      <c r="N52" s="115">
        <f t="shared" ca="1" si="10"/>
        <v>1</v>
      </c>
      <c r="O52" s="122">
        <f t="shared" ca="1" si="11"/>
        <v>0.44583333333333308</v>
      </c>
      <c r="P52" s="122">
        <f t="shared" ca="1" si="12"/>
        <v>0.45069444444444418</v>
      </c>
      <c r="Q52" s="122" t="str">
        <f t="shared" ca="1" si="13"/>
        <v/>
      </c>
      <c r="R52" s="122">
        <f t="shared" ca="1" si="14"/>
        <v>0.4444444444444442</v>
      </c>
      <c r="S52" s="122" t="str">
        <f t="shared" ca="1" si="15"/>
        <v/>
      </c>
      <c r="T52" s="122">
        <f t="shared" ca="1" si="16"/>
        <v>0.43402777777777757</v>
      </c>
      <c r="U52" s="122">
        <f t="shared" ca="1" si="17"/>
        <v>0</v>
      </c>
      <c r="V52" s="122">
        <f t="shared" ca="1" si="18"/>
        <v>4.8611111111111112E-3</v>
      </c>
      <c r="W52" s="122">
        <f t="shared" ca="1" si="19"/>
        <v>4.8611111111110938E-3</v>
      </c>
      <c r="X52" s="122">
        <f t="shared" ca="1" si="23"/>
        <v>4.8611111111111112E-3</v>
      </c>
      <c r="Y52" s="122">
        <f t="shared" ca="1" si="20"/>
        <v>0.45069444444444418</v>
      </c>
      <c r="Z52" s="115">
        <f t="shared" ca="1" si="24"/>
        <v>0</v>
      </c>
    </row>
    <row r="53" spans="1:26" x14ac:dyDescent="0.35">
      <c r="A53" s="115">
        <f t="shared" ca="1" si="21"/>
        <v>34</v>
      </c>
      <c r="B53" s="115">
        <f t="shared" ca="1" si="1"/>
        <v>10</v>
      </c>
      <c r="C53" s="122">
        <f t="shared" ca="1" si="6"/>
        <v>6.9444444444444441E-3</v>
      </c>
      <c r="D53" s="115">
        <f t="shared" ca="1" si="2"/>
        <v>8</v>
      </c>
      <c r="E53" s="122">
        <f t="shared" ca="1" si="7"/>
        <v>5.5555555555555558E-3</v>
      </c>
      <c r="F53" s="122">
        <f t="shared" ca="1" si="3"/>
        <v>0.4527777777777775</v>
      </c>
      <c r="G53" s="122">
        <f t="shared" ca="1" si="8"/>
        <v>0</v>
      </c>
      <c r="H53" s="115" t="str">
        <f t="shared" ca="1" si="4"/>
        <v/>
      </c>
      <c r="I53" s="122" t="str">
        <f t="shared" ca="1" si="5"/>
        <v/>
      </c>
      <c r="J53" s="122">
        <f ca="1">IF(ISTEXT($F53),"",MAX($P$19:P52,$F53))</f>
        <v>0.4527777777777775</v>
      </c>
      <c r="K53" s="122">
        <f ca="1">IF(ISTEXT($F53),"",MAX($R$19:R52,$F53))</f>
        <v>0.4527777777777775</v>
      </c>
      <c r="L53" s="122">
        <f t="shared" ca="1" si="22"/>
        <v>0.4527777777777775</v>
      </c>
      <c r="M53" s="122">
        <f t="shared" ca="1" si="9"/>
        <v>0.4527777777777775</v>
      </c>
      <c r="N53" s="115">
        <f t="shared" ca="1" si="10"/>
        <v>1</v>
      </c>
      <c r="O53" s="122">
        <f t="shared" ca="1" si="11"/>
        <v>0.4527777777777775</v>
      </c>
      <c r="P53" s="122">
        <f t="shared" ca="1" si="12"/>
        <v>0.45833333333333304</v>
      </c>
      <c r="Q53" s="122" t="str">
        <f t="shared" ca="1" si="13"/>
        <v/>
      </c>
      <c r="R53" s="122">
        <f t="shared" ca="1" si="14"/>
        <v>0.4444444444444442</v>
      </c>
      <c r="S53" s="122" t="str">
        <f t="shared" ca="1" si="15"/>
        <v/>
      </c>
      <c r="T53" s="122">
        <f t="shared" ca="1" si="16"/>
        <v>0.43402777777777757</v>
      </c>
      <c r="U53" s="122">
        <f t="shared" ca="1" si="17"/>
        <v>0</v>
      </c>
      <c r="V53" s="122">
        <f t="shared" ca="1" si="18"/>
        <v>5.5555555555555558E-3</v>
      </c>
      <c r="W53" s="122">
        <f t="shared" ca="1" si="19"/>
        <v>5.5555555555555358E-3</v>
      </c>
      <c r="X53" s="122">
        <f t="shared" ca="1" si="23"/>
        <v>5.5555555555555558E-3</v>
      </c>
      <c r="Y53" s="122">
        <f t="shared" ca="1" si="20"/>
        <v>0.45833333333333304</v>
      </c>
      <c r="Z53" s="115">
        <f t="shared" ca="1" si="24"/>
        <v>0</v>
      </c>
    </row>
    <row r="54" spans="1:26" x14ac:dyDescent="0.35">
      <c r="A54" s="115">
        <f t="shared" ca="1" si="21"/>
        <v>35</v>
      </c>
      <c r="B54" s="115">
        <f t="shared" ca="1" si="1"/>
        <v>5</v>
      </c>
      <c r="C54" s="122">
        <f t="shared" ca="1" si="6"/>
        <v>3.472222222222222E-3</v>
      </c>
      <c r="D54" s="115">
        <f t="shared" ca="1" si="2"/>
        <v>7</v>
      </c>
      <c r="E54" s="122">
        <f t="shared" ca="1" si="7"/>
        <v>4.8611111111111112E-3</v>
      </c>
      <c r="F54" s="122">
        <f t="shared" ca="1" si="3"/>
        <v>0.45624999999999971</v>
      </c>
      <c r="G54" s="122">
        <f t="shared" ca="1" si="8"/>
        <v>0</v>
      </c>
      <c r="H54" s="115" t="str">
        <f t="shared" ca="1" si="4"/>
        <v/>
      </c>
      <c r="I54" s="122" t="str">
        <f t="shared" ca="1" si="5"/>
        <v/>
      </c>
      <c r="J54" s="122">
        <f ca="1">IF(ISTEXT($F54),"",MAX($P$19:P53,$F54))</f>
        <v>0.45833333333333304</v>
      </c>
      <c r="K54" s="122">
        <f ca="1">IF(ISTEXT($F54),"",MAX($R$19:R53,$F54))</f>
        <v>0.45624999999999971</v>
      </c>
      <c r="L54" s="122">
        <f t="shared" ca="1" si="22"/>
        <v>0.45624999999999971</v>
      </c>
      <c r="M54" s="122">
        <f t="shared" ca="1" si="9"/>
        <v>0.45624999999999971</v>
      </c>
      <c r="N54" s="115">
        <f t="shared" ca="1" si="10"/>
        <v>2</v>
      </c>
      <c r="O54" s="122" t="str">
        <f t="shared" ca="1" si="11"/>
        <v/>
      </c>
      <c r="P54" s="122">
        <f t="shared" ca="1" si="12"/>
        <v>0.45833333333333304</v>
      </c>
      <c r="Q54" s="122">
        <f t="shared" ca="1" si="13"/>
        <v>0.45624999999999971</v>
      </c>
      <c r="R54" s="122">
        <f t="shared" ca="1" si="14"/>
        <v>0.46111111111111081</v>
      </c>
      <c r="S54" s="122" t="str">
        <f t="shared" ca="1" si="15"/>
        <v/>
      </c>
      <c r="T54" s="122">
        <f t="shared" ca="1" si="16"/>
        <v>0.43402777777777757</v>
      </c>
      <c r="U54" s="122">
        <f t="shared" ca="1" si="17"/>
        <v>0</v>
      </c>
      <c r="V54" s="122">
        <f t="shared" ca="1" si="18"/>
        <v>4.8611111111111112E-3</v>
      </c>
      <c r="W54" s="122">
        <f t="shared" ca="1" si="19"/>
        <v>4.8611111111110938E-3</v>
      </c>
      <c r="X54" s="122">
        <f t="shared" ca="1" si="23"/>
        <v>4.8611111111111112E-3</v>
      </c>
      <c r="Y54" s="122">
        <f t="shared" ca="1" si="20"/>
        <v>0.46111111111111081</v>
      </c>
      <c r="Z54" s="115">
        <f t="shared" ca="1" si="24"/>
        <v>0</v>
      </c>
    </row>
    <row r="55" spans="1:26" x14ac:dyDescent="0.35">
      <c r="A55" s="115">
        <f t="shared" ca="1" si="21"/>
        <v>36</v>
      </c>
      <c r="B55" s="115">
        <f t="shared" ca="1" si="1"/>
        <v>10</v>
      </c>
      <c r="C55" s="122">
        <f t="shared" ca="1" si="6"/>
        <v>6.9444444444444441E-3</v>
      </c>
      <c r="D55" s="115">
        <f t="shared" ca="1" si="2"/>
        <v>3</v>
      </c>
      <c r="E55" s="122">
        <f t="shared" ca="1" si="7"/>
        <v>2.0833333333333333E-3</v>
      </c>
      <c r="F55" s="122">
        <f t="shared" ca="1" si="3"/>
        <v>0.46319444444444413</v>
      </c>
      <c r="G55" s="122">
        <f t="shared" ca="1" si="8"/>
        <v>0</v>
      </c>
      <c r="H55" s="115" t="str">
        <f t="shared" ca="1" si="4"/>
        <v/>
      </c>
      <c r="I55" s="122" t="str">
        <f t="shared" ca="1" si="5"/>
        <v/>
      </c>
      <c r="J55" s="122">
        <f ca="1">IF(ISTEXT($F55),"",MAX($P$19:P54,$F55))</f>
        <v>0.46319444444444413</v>
      </c>
      <c r="K55" s="122">
        <f ca="1">IF(ISTEXT($F55),"",MAX($R$19:R54,$F55))</f>
        <v>0.46319444444444413</v>
      </c>
      <c r="L55" s="122">
        <f t="shared" ca="1" si="22"/>
        <v>0.46319444444444413</v>
      </c>
      <c r="M55" s="122">
        <f t="shared" ca="1" si="9"/>
        <v>0.46319444444444413</v>
      </c>
      <c r="N55" s="115">
        <f t="shared" ca="1" si="10"/>
        <v>1</v>
      </c>
      <c r="O55" s="122">
        <f t="shared" ca="1" si="11"/>
        <v>0.46319444444444413</v>
      </c>
      <c r="P55" s="122">
        <f t="shared" ca="1" si="12"/>
        <v>0.46527777777777746</v>
      </c>
      <c r="Q55" s="122" t="str">
        <f t="shared" ca="1" si="13"/>
        <v/>
      </c>
      <c r="R55" s="122">
        <f t="shared" ca="1" si="14"/>
        <v>0.46111111111111081</v>
      </c>
      <c r="S55" s="122" t="str">
        <f t="shared" ca="1" si="15"/>
        <v/>
      </c>
      <c r="T55" s="122">
        <f t="shared" ca="1" si="16"/>
        <v>0.43402777777777757</v>
      </c>
      <c r="U55" s="122">
        <f t="shared" ca="1" si="17"/>
        <v>0</v>
      </c>
      <c r="V55" s="122">
        <f t="shared" ca="1" si="18"/>
        <v>2.0833333333333333E-3</v>
      </c>
      <c r="W55" s="122">
        <f t="shared" ca="1" si="19"/>
        <v>2.0833333333333259E-3</v>
      </c>
      <c r="X55" s="122">
        <f t="shared" ca="1" si="23"/>
        <v>2.0833333333333333E-3</v>
      </c>
      <c r="Y55" s="122">
        <f t="shared" ca="1" si="20"/>
        <v>0.46527777777777746</v>
      </c>
      <c r="Z55" s="115">
        <f t="shared" ca="1" si="24"/>
        <v>0</v>
      </c>
    </row>
    <row r="56" spans="1:26" x14ac:dyDescent="0.35">
      <c r="A56" s="115">
        <f t="shared" ca="1" si="21"/>
        <v>37</v>
      </c>
      <c r="B56" s="115">
        <f t="shared" ca="1" si="1"/>
        <v>1</v>
      </c>
      <c r="C56" s="122">
        <f t="shared" ca="1" si="6"/>
        <v>6.9444444444444447E-4</v>
      </c>
      <c r="D56" s="115">
        <f t="shared" ca="1" si="2"/>
        <v>7</v>
      </c>
      <c r="E56" s="122">
        <f t="shared" ca="1" si="7"/>
        <v>4.8611111111111112E-3</v>
      </c>
      <c r="F56" s="122">
        <f t="shared" ca="1" si="3"/>
        <v>0.46388888888888857</v>
      </c>
      <c r="G56" s="122">
        <f t="shared" ca="1" si="8"/>
        <v>0</v>
      </c>
      <c r="H56" s="115" t="str">
        <f t="shared" ca="1" si="4"/>
        <v/>
      </c>
      <c r="I56" s="122" t="str">
        <f t="shared" ca="1" si="5"/>
        <v/>
      </c>
      <c r="J56" s="122">
        <f ca="1">IF(ISTEXT($F56),"",MAX($P$19:P55,$F56))</f>
        <v>0.46527777777777746</v>
      </c>
      <c r="K56" s="122">
        <f ca="1">IF(ISTEXT($F56),"",MAX($R$19:R55,$F56))</f>
        <v>0.46388888888888857</v>
      </c>
      <c r="L56" s="122">
        <f t="shared" ca="1" si="22"/>
        <v>0.46388888888888857</v>
      </c>
      <c r="M56" s="122">
        <f t="shared" ca="1" si="9"/>
        <v>0.46388888888888857</v>
      </c>
      <c r="N56" s="115">
        <f t="shared" ca="1" si="10"/>
        <v>2</v>
      </c>
      <c r="O56" s="122" t="str">
        <f t="shared" ca="1" si="11"/>
        <v/>
      </c>
      <c r="P56" s="122">
        <f t="shared" ca="1" si="12"/>
        <v>0.46527777777777746</v>
      </c>
      <c r="Q56" s="122">
        <f t="shared" ca="1" si="13"/>
        <v>0.46388888888888857</v>
      </c>
      <c r="R56" s="122">
        <f t="shared" ca="1" si="14"/>
        <v>0.46874999999999967</v>
      </c>
      <c r="S56" s="122" t="str">
        <f t="shared" ca="1" si="15"/>
        <v/>
      </c>
      <c r="T56" s="122">
        <f t="shared" ca="1" si="16"/>
        <v>0.43402777777777757</v>
      </c>
      <c r="U56" s="122">
        <f t="shared" ca="1" si="17"/>
        <v>0</v>
      </c>
      <c r="V56" s="122">
        <f t="shared" ca="1" si="18"/>
        <v>4.8611111111111112E-3</v>
      </c>
      <c r="W56" s="122">
        <f t="shared" ca="1" si="19"/>
        <v>4.8611111111110938E-3</v>
      </c>
      <c r="X56" s="122">
        <f t="shared" ca="1" si="23"/>
        <v>4.8611111111111112E-3</v>
      </c>
      <c r="Y56" s="122">
        <f t="shared" ca="1" si="20"/>
        <v>0.46874999999999967</v>
      </c>
      <c r="Z56" s="115">
        <f t="shared" ca="1" si="24"/>
        <v>0</v>
      </c>
    </row>
    <row r="57" spans="1:26" x14ac:dyDescent="0.35">
      <c r="A57" s="115">
        <f t="shared" ca="1" si="21"/>
        <v>38</v>
      </c>
      <c r="B57" s="115">
        <f t="shared" ca="1" si="1"/>
        <v>1</v>
      </c>
      <c r="C57" s="122">
        <f t="shared" ca="1" si="6"/>
        <v>6.9444444444444447E-4</v>
      </c>
      <c r="D57" s="115">
        <f t="shared" ca="1" si="2"/>
        <v>7</v>
      </c>
      <c r="E57" s="122">
        <f t="shared" ca="1" si="7"/>
        <v>4.8611111111111112E-3</v>
      </c>
      <c r="F57" s="122">
        <f t="shared" ca="1" si="3"/>
        <v>0.46458333333333302</v>
      </c>
      <c r="G57" s="122">
        <f t="shared" ca="1" si="8"/>
        <v>0</v>
      </c>
      <c r="H57" s="115" t="str">
        <f t="shared" ca="1" si="4"/>
        <v/>
      </c>
      <c r="I57" s="122" t="str">
        <f t="shared" ca="1" si="5"/>
        <v/>
      </c>
      <c r="J57" s="122">
        <f ca="1">IF(ISTEXT($F57),"",MAX($P$19:P56,$F57))</f>
        <v>0.46527777777777746</v>
      </c>
      <c r="K57" s="122">
        <f ca="1">IF(ISTEXT($F57),"",MAX($R$19:R56,$F57))</f>
        <v>0.46874999999999967</v>
      </c>
      <c r="L57" s="122">
        <f t="shared" ca="1" si="22"/>
        <v>0.46458333333333302</v>
      </c>
      <c r="M57" s="122">
        <f t="shared" ca="1" si="9"/>
        <v>0.46458333333333302</v>
      </c>
      <c r="N57" s="115">
        <f t="shared" ca="1" si="10"/>
        <v>3</v>
      </c>
      <c r="O57" s="122" t="str">
        <f t="shared" ca="1" si="11"/>
        <v/>
      </c>
      <c r="P57" s="122">
        <f t="shared" ca="1" si="12"/>
        <v>0.46527777777777746</v>
      </c>
      <c r="Q57" s="122" t="str">
        <f t="shared" ca="1" si="13"/>
        <v/>
      </c>
      <c r="R57" s="122">
        <f t="shared" ca="1" si="14"/>
        <v>0.46874999999999967</v>
      </c>
      <c r="S57" s="122">
        <f t="shared" ca="1" si="15"/>
        <v>0.46458333333333302</v>
      </c>
      <c r="T57" s="122">
        <f t="shared" ca="1" si="16"/>
        <v>0.46944444444444411</v>
      </c>
      <c r="U57" s="122">
        <f t="shared" ca="1" si="17"/>
        <v>0</v>
      </c>
      <c r="V57" s="122">
        <f t="shared" ca="1" si="18"/>
        <v>4.8611111111111112E-3</v>
      </c>
      <c r="W57" s="122">
        <f t="shared" ca="1" si="19"/>
        <v>4.8611111111110938E-3</v>
      </c>
      <c r="X57" s="122">
        <f ca="1">IFERROR(IF(H57="Ушел",W57,$E57+G57),"")</f>
        <v>4.8611111111111112E-3</v>
      </c>
      <c r="Y57" s="122">
        <f t="shared" ca="1" si="20"/>
        <v>0.46944444444444411</v>
      </c>
      <c r="Z57" s="115">
        <f t="shared" ca="1" si="24"/>
        <v>0</v>
      </c>
    </row>
    <row r="58" spans="1:26" x14ac:dyDescent="0.35">
      <c r="A58" s="115">
        <f t="shared" ca="1" si="21"/>
        <v>39</v>
      </c>
      <c r="B58" s="115">
        <f t="shared" ca="1" si="1"/>
        <v>10</v>
      </c>
      <c r="C58" s="122">
        <f t="shared" ca="1" si="6"/>
        <v>6.9444444444444441E-3</v>
      </c>
      <c r="D58" s="115">
        <f t="shared" ca="1" si="2"/>
        <v>3</v>
      </c>
      <c r="E58" s="122">
        <f t="shared" ca="1" si="7"/>
        <v>2.0833333333333333E-3</v>
      </c>
      <c r="F58" s="122">
        <f t="shared" ca="1" si="3"/>
        <v>0.47152777777777743</v>
      </c>
      <c r="G58" s="122">
        <f t="shared" ca="1" si="8"/>
        <v>0</v>
      </c>
      <c r="H58" s="115" t="str">
        <f t="shared" ca="1" si="4"/>
        <v/>
      </c>
      <c r="I58" s="122" t="str">
        <f t="shared" ca="1" si="5"/>
        <v/>
      </c>
      <c r="J58" s="122">
        <f ca="1">IF(ISTEXT($F58),"",MAX($P$19:P57,$F58))</f>
        <v>0.47152777777777743</v>
      </c>
      <c r="K58" s="122">
        <f ca="1">IF(ISTEXT($F58),"",MAX($R$19:R57,$F58))</f>
        <v>0.47152777777777743</v>
      </c>
      <c r="L58" s="122">
        <f t="shared" ca="1" si="22"/>
        <v>0.47152777777777743</v>
      </c>
      <c r="M58" s="122">
        <f t="shared" ca="1" si="9"/>
        <v>0.47152777777777743</v>
      </c>
      <c r="N58" s="115">
        <f t="shared" ca="1" si="10"/>
        <v>1</v>
      </c>
      <c r="O58" s="122">
        <f t="shared" ca="1" si="11"/>
        <v>0.47152777777777743</v>
      </c>
      <c r="P58" s="122">
        <f t="shared" ca="1" si="12"/>
        <v>0.47361111111111076</v>
      </c>
      <c r="Q58" s="122" t="str">
        <f t="shared" ca="1" si="13"/>
        <v/>
      </c>
      <c r="R58" s="122">
        <f t="shared" ca="1" si="14"/>
        <v>0.46874999999999967</v>
      </c>
      <c r="S58" s="122" t="str">
        <f t="shared" ca="1" si="15"/>
        <v/>
      </c>
      <c r="T58" s="122">
        <f t="shared" ca="1" si="16"/>
        <v>0.46944444444444411</v>
      </c>
      <c r="U58" s="122">
        <f t="shared" ca="1" si="17"/>
        <v>0</v>
      </c>
      <c r="V58" s="122">
        <f t="shared" ca="1" si="18"/>
        <v>2.0833333333333333E-3</v>
      </c>
      <c r="W58" s="122">
        <f t="shared" ca="1" si="19"/>
        <v>2.0833333333333259E-3</v>
      </c>
      <c r="X58" s="122">
        <f t="shared" ca="1" si="23"/>
        <v>2.0833333333333333E-3</v>
      </c>
      <c r="Y58" s="122">
        <f t="shared" ca="1" si="20"/>
        <v>0.47361111111111076</v>
      </c>
      <c r="Z58" s="115">
        <f t="shared" ca="1" si="24"/>
        <v>0</v>
      </c>
    </row>
    <row r="59" spans="1:26" x14ac:dyDescent="0.35">
      <c r="A59" s="115">
        <f t="shared" ca="1" si="21"/>
        <v>40</v>
      </c>
      <c r="B59" s="115">
        <f t="shared" ca="1" si="1"/>
        <v>1</v>
      </c>
      <c r="C59" s="122">
        <f t="shared" ca="1" si="6"/>
        <v>6.9444444444444447E-4</v>
      </c>
      <c r="D59" s="115">
        <f t="shared" ca="1" si="2"/>
        <v>8</v>
      </c>
      <c r="E59" s="122">
        <f t="shared" ca="1" si="7"/>
        <v>5.5555555555555558E-3</v>
      </c>
      <c r="F59" s="122">
        <f t="shared" ca="1" si="3"/>
        <v>0.47222222222222188</v>
      </c>
      <c r="G59" s="122">
        <f t="shared" ca="1" si="8"/>
        <v>0</v>
      </c>
      <c r="H59" s="115" t="str">
        <f t="shared" ca="1" si="4"/>
        <v/>
      </c>
      <c r="I59" s="122" t="str">
        <f t="shared" ca="1" si="5"/>
        <v/>
      </c>
      <c r="J59" s="122">
        <f ca="1">IF(ISTEXT($F59),"",MAX($P$19:P58,$F59))</f>
        <v>0.47361111111111076</v>
      </c>
      <c r="K59" s="122">
        <f ca="1">IF(ISTEXT($F59),"",MAX($R$19:R58,$F59))</f>
        <v>0.47222222222222188</v>
      </c>
      <c r="L59" s="122">
        <f t="shared" ca="1" si="22"/>
        <v>0.47222222222222188</v>
      </c>
      <c r="M59" s="122">
        <f t="shared" ca="1" si="9"/>
        <v>0.47222222222222188</v>
      </c>
      <c r="N59" s="115">
        <f t="shared" ca="1" si="10"/>
        <v>2</v>
      </c>
      <c r="O59" s="122" t="str">
        <f t="shared" ca="1" si="11"/>
        <v/>
      </c>
      <c r="P59" s="122">
        <f t="shared" ca="1" si="12"/>
        <v>0.47361111111111076</v>
      </c>
      <c r="Q59" s="122">
        <f t="shared" ca="1" si="13"/>
        <v>0.47222222222222188</v>
      </c>
      <c r="R59" s="122">
        <f t="shared" ca="1" si="14"/>
        <v>0.47777777777777741</v>
      </c>
      <c r="S59" s="122" t="str">
        <f t="shared" ca="1" si="15"/>
        <v/>
      </c>
      <c r="T59" s="122">
        <f t="shared" ca="1" si="16"/>
        <v>0.46944444444444411</v>
      </c>
      <c r="U59" s="122">
        <f t="shared" ca="1" si="17"/>
        <v>0</v>
      </c>
      <c r="V59" s="122">
        <f t="shared" ca="1" si="18"/>
        <v>5.5555555555555558E-3</v>
      </c>
      <c r="W59" s="122">
        <f ca="1">IFERROR(Y59-F59,"")</f>
        <v>5.5555555555555358E-3</v>
      </c>
      <c r="X59" s="122">
        <f t="shared" ca="1" si="23"/>
        <v>5.5555555555555558E-3</v>
      </c>
      <c r="Y59" s="122">
        <f t="shared" ca="1" si="20"/>
        <v>0.47777777777777741</v>
      </c>
      <c r="Z59" s="115">
        <f t="shared" ca="1" si="24"/>
        <v>0</v>
      </c>
    </row>
    <row r="60" spans="1:26" x14ac:dyDescent="0.35">
      <c r="A60" s="115">
        <f t="shared" ref="A60:A88" ca="1" si="25">IF(ISTEXT(F60),"Закрыто",A59+1)</f>
        <v>41</v>
      </c>
      <c r="B60" s="115">
        <f t="shared" ca="1" si="1"/>
        <v>3</v>
      </c>
      <c r="C60" s="122">
        <f t="shared" ref="C60:C88" ca="1" si="26">B60/1440</f>
        <v>2.0833333333333333E-3</v>
      </c>
      <c r="D60" s="115">
        <f t="shared" ca="1" si="2"/>
        <v>7</v>
      </c>
      <c r="E60" s="122">
        <f t="shared" ref="E60:E88" ca="1" si="27">D60/1440</f>
        <v>4.8611111111111112E-3</v>
      </c>
      <c r="F60" s="122">
        <f t="shared" ref="F60:F88" ca="1" si="28">IF(ISTEXT(F59),"",IF(F59+C60&gt;=closed,"Закрыто",F59+C60))</f>
        <v>0.4743055555555552</v>
      </c>
      <c r="G60" s="122">
        <f t="shared" ref="G60:G88" ca="1" si="29">IF(ISTEXT(F60),"",M60-F60)</f>
        <v>0</v>
      </c>
      <c r="H60" s="115" t="str">
        <f t="shared" ref="H60:H88" ca="1" si="30">IF(ISTEXT(F60),"",IF(G60&gt;(renegat/1440),"Ушел",""))</f>
        <v/>
      </c>
      <c r="I60" s="122" t="str">
        <f t="shared" ref="I60:I88" ca="1" si="31">IF(H60="Ушел",F60+(renegat/1440),"")</f>
        <v/>
      </c>
      <c r="J60" s="122">
        <f ca="1">IF(ISTEXT($F60),"",MAX($P$19:P59,$F60))</f>
        <v>0.4743055555555552</v>
      </c>
      <c r="K60" s="122">
        <f ca="1">IF(ISTEXT($F60),"",MAX($R$19:R59,$F60))</f>
        <v>0.47777777777777741</v>
      </c>
      <c r="L60" s="122">
        <f t="shared" ref="L60:L88" ca="1" si="32">IF(ISTEXT($F60),"",MAX(T58:T59,$F60))</f>
        <v>0.4743055555555552</v>
      </c>
      <c r="M60" s="122">
        <f t="shared" ref="M60:M88" ca="1" si="33">IF(ISTEXT(F60),"",MIN(J60:L60))</f>
        <v>0.4743055555555552</v>
      </c>
      <c r="N60" s="115">
        <f t="shared" ref="N60:N88" ca="1" si="34">IF(OR(ISTEXT(F60),H60="Ушел"),"",MATCH(M60,J60:L60,0))</f>
        <v>1</v>
      </c>
      <c r="O60" s="122">
        <f t="shared" ref="O60:O88" ca="1" si="35">IF($N60=1,M60,"")</f>
        <v>0.4743055555555552</v>
      </c>
      <c r="P60" s="122">
        <f t="shared" ref="P60:P88" ca="1" si="36">IF($N60=1,O60+$E60,P59)</f>
        <v>0.4791666666666663</v>
      </c>
      <c r="Q60" s="122" t="str">
        <f t="shared" ref="Q60:Q88" ca="1" si="37">IF($N60=2,M60,"")</f>
        <v/>
      </c>
      <c r="R60" s="122">
        <f t="shared" ref="R60:R88" ca="1" si="38">IF($N60=2,Q60+$E60,R59)</f>
        <v>0.47777777777777741</v>
      </c>
      <c r="S60" s="122" t="str">
        <f t="shared" ref="S60:S88" ca="1" si="39">IF($N60=3,M60,"")</f>
        <v/>
      </c>
      <c r="T60" s="122">
        <f t="shared" ref="T60:T88" ca="1" si="40">IF($N60=3,S60+$E60,T59)</f>
        <v>0.46944444444444411</v>
      </c>
      <c r="U60" s="122">
        <f t="shared" ref="U60:U88" ca="1" si="41">IF(H60="Ушел",I60-F60,G60)</f>
        <v>0</v>
      </c>
      <c r="V60" s="122">
        <f t="shared" ref="V60:V88" ca="1" si="42">IF(OR(H60="Ушел",A60="Закрыто"),"",E60)</f>
        <v>4.8611111111111112E-3</v>
      </c>
      <c r="W60" s="122">
        <f t="shared" ref="W60:W87" ca="1" si="43">IFERROR(Y60-F60,"")</f>
        <v>4.8611111111110938E-3</v>
      </c>
      <c r="X60" s="122">
        <f t="shared" ref="X60:X88" ca="1" si="44">IFERROR(IF(H60="Ушел",W60,$E60+G60),"")</f>
        <v>4.8611111111111112E-3</v>
      </c>
      <c r="Y60" s="122">
        <f t="shared" ref="Y60:Y88" ca="1" si="45">IFERROR(IF(H60="Ушел",I60,CHOOSE(N60,P60,R60,T60)),"")</f>
        <v>0.4791666666666663</v>
      </c>
      <c r="Z60" s="115">
        <f t="shared" ca="1" si="24"/>
        <v>0</v>
      </c>
    </row>
    <row r="61" spans="1:26" x14ac:dyDescent="0.35">
      <c r="A61" s="115">
        <f t="shared" ca="1" si="25"/>
        <v>42</v>
      </c>
      <c r="B61" s="115">
        <f t="shared" ca="1" si="1"/>
        <v>1</v>
      </c>
      <c r="C61" s="122">
        <f t="shared" ca="1" si="26"/>
        <v>6.9444444444444447E-4</v>
      </c>
      <c r="D61" s="115">
        <f t="shared" ca="1" si="2"/>
        <v>7</v>
      </c>
      <c r="E61" s="122">
        <f t="shared" ca="1" si="27"/>
        <v>4.8611111111111112E-3</v>
      </c>
      <c r="F61" s="122">
        <f t="shared" ca="1" si="28"/>
        <v>0.47499999999999964</v>
      </c>
      <c r="G61" s="122">
        <f t="shared" ca="1" si="29"/>
        <v>0</v>
      </c>
      <c r="H61" s="115" t="str">
        <f t="shared" ca="1" si="30"/>
        <v/>
      </c>
      <c r="I61" s="122" t="str">
        <f t="shared" ca="1" si="31"/>
        <v/>
      </c>
      <c r="J61" s="122">
        <f ca="1">IF(ISTEXT($F61),"",MAX($P$19:P60,$F61))</f>
        <v>0.4791666666666663</v>
      </c>
      <c r="K61" s="122">
        <f ca="1">IF(ISTEXT($F61),"",MAX($R$19:R60,$F61))</f>
        <v>0.47777777777777741</v>
      </c>
      <c r="L61" s="122">
        <f t="shared" ca="1" si="32"/>
        <v>0.47499999999999964</v>
      </c>
      <c r="M61" s="122">
        <f t="shared" ca="1" si="33"/>
        <v>0.47499999999999964</v>
      </c>
      <c r="N61" s="115">
        <f t="shared" ca="1" si="34"/>
        <v>3</v>
      </c>
      <c r="O61" s="122" t="str">
        <f t="shared" ca="1" si="35"/>
        <v/>
      </c>
      <c r="P61" s="122">
        <f t="shared" ca="1" si="36"/>
        <v>0.4791666666666663</v>
      </c>
      <c r="Q61" s="122" t="str">
        <f t="shared" ca="1" si="37"/>
        <v/>
      </c>
      <c r="R61" s="122">
        <f t="shared" ca="1" si="38"/>
        <v>0.47777777777777741</v>
      </c>
      <c r="S61" s="122">
        <f t="shared" ca="1" si="39"/>
        <v>0.47499999999999964</v>
      </c>
      <c r="T61" s="122">
        <f t="shared" ca="1" si="40"/>
        <v>0.47986111111111074</v>
      </c>
      <c r="U61" s="122">
        <f t="shared" ca="1" si="41"/>
        <v>0</v>
      </c>
      <c r="V61" s="122">
        <f t="shared" ca="1" si="42"/>
        <v>4.8611111111111112E-3</v>
      </c>
      <c r="W61" s="122">
        <f t="shared" ca="1" si="43"/>
        <v>4.8611111111110938E-3</v>
      </c>
      <c r="X61" s="122">
        <f t="shared" ca="1" si="44"/>
        <v>4.8611111111111112E-3</v>
      </c>
      <c r="Y61" s="122">
        <f t="shared" ca="1" si="45"/>
        <v>0.47986111111111074</v>
      </c>
      <c r="Z61" s="115">
        <f t="shared" ca="1" si="24"/>
        <v>0</v>
      </c>
    </row>
    <row r="62" spans="1:26" x14ac:dyDescent="0.35">
      <c r="A62" s="115">
        <f t="shared" ca="1" si="25"/>
        <v>43</v>
      </c>
      <c r="B62" s="115">
        <f t="shared" ca="1" si="1"/>
        <v>5</v>
      </c>
      <c r="C62" s="122">
        <f t="shared" ca="1" si="26"/>
        <v>3.472222222222222E-3</v>
      </c>
      <c r="D62" s="115">
        <f t="shared" ca="1" si="2"/>
        <v>8</v>
      </c>
      <c r="E62" s="122">
        <f t="shared" ca="1" si="27"/>
        <v>5.5555555555555558E-3</v>
      </c>
      <c r="F62" s="122">
        <f t="shared" ca="1" si="28"/>
        <v>0.47847222222222185</v>
      </c>
      <c r="G62" s="122">
        <f t="shared" ca="1" si="29"/>
        <v>0</v>
      </c>
      <c r="H62" s="115" t="str">
        <f t="shared" ca="1" si="30"/>
        <v/>
      </c>
      <c r="I62" s="122" t="str">
        <f t="shared" ca="1" si="31"/>
        <v/>
      </c>
      <c r="J62" s="122">
        <f ca="1">IF(ISTEXT($F62),"",MAX($P$19:P61,$F62))</f>
        <v>0.4791666666666663</v>
      </c>
      <c r="K62" s="122">
        <f ca="1">IF(ISTEXT($F62),"",MAX($R$19:R61,$F62))</f>
        <v>0.47847222222222185</v>
      </c>
      <c r="L62" s="122">
        <f t="shared" ca="1" si="32"/>
        <v>0.47986111111111074</v>
      </c>
      <c r="M62" s="122">
        <f t="shared" ca="1" si="33"/>
        <v>0.47847222222222185</v>
      </c>
      <c r="N62" s="115">
        <f t="shared" ca="1" si="34"/>
        <v>2</v>
      </c>
      <c r="O62" s="122" t="str">
        <f t="shared" ca="1" si="35"/>
        <v/>
      </c>
      <c r="P62" s="122">
        <f t="shared" ca="1" si="36"/>
        <v>0.4791666666666663</v>
      </c>
      <c r="Q62" s="122">
        <f t="shared" ca="1" si="37"/>
        <v>0.47847222222222185</v>
      </c>
      <c r="R62" s="122">
        <f t="shared" ca="1" si="38"/>
        <v>0.48402777777777739</v>
      </c>
      <c r="S62" s="122" t="str">
        <f t="shared" ca="1" si="39"/>
        <v/>
      </c>
      <c r="T62" s="122">
        <f t="shared" ca="1" si="40"/>
        <v>0.47986111111111074</v>
      </c>
      <c r="U62" s="122">
        <f t="shared" ca="1" si="41"/>
        <v>0</v>
      </c>
      <c r="V62" s="122">
        <f t="shared" ca="1" si="42"/>
        <v>5.5555555555555558E-3</v>
      </c>
      <c r="W62" s="122">
        <f t="shared" ca="1" si="43"/>
        <v>5.5555555555555358E-3</v>
      </c>
      <c r="X62" s="122">
        <f t="shared" ca="1" si="44"/>
        <v>5.5555555555555558E-3</v>
      </c>
      <c r="Y62" s="122">
        <f t="shared" ca="1" si="45"/>
        <v>0.48402777777777739</v>
      </c>
      <c r="Z62" s="115">
        <f t="shared" ca="1" si="24"/>
        <v>0</v>
      </c>
    </row>
    <row r="63" spans="1:26" ht="17.25" customHeight="1" x14ac:dyDescent="0.35">
      <c r="A63" s="115">
        <f t="shared" ca="1" si="25"/>
        <v>44</v>
      </c>
      <c r="B63" s="115">
        <f t="shared" ca="1" si="1"/>
        <v>5</v>
      </c>
      <c r="C63" s="122">
        <f t="shared" ca="1" si="26"/>
        <v>3.472222222222222E-3</v>
      </c>
      <c r="D63" s="115">
        <f t="shared" ca="1" si="2"/>
        <v>3</v>
      </c>
      <c r="E63" s="122">
        <f t="shared" ca="1" si="27"/>
        <v>2.0833333333333333E-3</v>
      </c>
      <c r="F63" s="122">
        <f t="shared" ca="1" si="28"/>
        <v>0.48194444444444406</v>
      </c>
      <c r="G63" s="122">
        <f t="shared" ca="1" si="29"/>
        <v>0</v>
      </c>
      <c r="H63" s="115" t="str">
        <f t="shared" ca="1" si="30"/>
        <v/>
      </c>
      <c r="I63" s="122" t="str">
        <f t="shared" ca="1" si="31"/>
        <v/>
      </c>
      <c r="J63" s="122">
        <f ca="1">IF(ISTEXT($F63),"",MAX($P$19:P62,$F63))</f>
        <v>0.48194444444444406</v>
      </c>
      <c r="K63" s="122">
        <f ca="1">IF(ISTEXT($F63),"",MAX($R$19:R62,$F63))</f>
        <v>0.48402777777777739</v>
      </c>
      <c r="L63" s="122">
        <f t="shared" ca="1" si="32"/>
        <v>0.48194444444444406</v>
      </c>
      <c r="M63" s="122">
        <f t="shared" ca="1" si="33"/>
        <v>0.48194444444444406</v>
      </c>
      <c r="N63" s="115">
        <f t="shared" ca="1" si="34"/>
        <v>1</v>
      </c>
      <c r="O63" s="122">
        <f t="shared" ca="1" si="35"/>
        <v>0.48194444444444406</v>
      </c>
      <c r="P63" s="122">
        <f t="shared" ca="1" si="36"/>
        <v>0.48402777777777739</v>
      </c>
      <c r="Q63" s="122" t="str">
        <f t="shared" ca="1" si="37"/>
        <v/>
      </c>
      <c r="R63" s="122">
        <f t="shared" ca="1" si="38"/>
        <v>0.48402777777777739</v>
      </c>
      <c r="S63" s="122" t="str">
        <f t="shared" ca="1" si="39"/>
        <v/>
      </c>
      <c r="T63" s="122">
        <f t="shared" ca="1" si="40"/>
        <v>0.47986111111111074</v>
      </c>
      <c r="U63" s="122">
        <f t="shared" ca="1" si="41"/>
        <v>0</v>
      </c>
      <c r="V63" s="122">
        <f t="shared" ca="1" si="42"/>
        <v>2.0833333333333333E-3</v>
      </c>
      <c r="W63" s="122">
        <f t="shared" ca="1" si="43"/>
        <v>2.0833333333333259E-3</v>
      </c>
      <c r="X63" s="122">
        <f t="shared" ca="1" si="44"/>
        <v>2.0833333333333333E-3</v>
      </c>
      <c r="Y63" s="122">
        <f t="shared" ca="1" si="45"/>
        <v>0.48402777777777739</v>
      </c>
      <c r="Z63" s="115">
        <f t="shared" ca="1" si="24"/>
        <v>0</v>
      </c>
    </row>
    <row r="64" spans="1:26" x14ac:dyDescent="0.35">
      <c r="A64" s="115">
        <f t="shared" ca="1" si="25"/>
        <v>45</v>
      </c>
      <c r="B64" s="115">
        <f t="shared" ca="1" si="1"/>
        <v>1</v>
      </c>
      <c r="C64" s="122">
        <f t="shared" ca="1" si="26"/>
        <v>6.9444444444444447E-4</v>
      </c>
      <c r="D64" s="115">
        <f t="shared" ca="1" si="2"/>
        <v>7</v>
      </c>
      <c r="E64" s="122">
        <f t="shared" ca="1" si="27"/>
        <v>4.8611111111111112E-3</v>
      </c>
      <c r="F64" s="122">
        <f t="shared" ca="1" si="28"/>
        <v>0.48263888888888851</v>
      </c>
      <c r="G64" s="122">
        <f t="shared" ca="1" si="29"/>
        <v>0</v>
      </c>
      <c r="H64" s="115" t="str">
        <f t="shared" ca="1" si="30"/>
        <v/>
      </c>
      <c r="I64" s="122" t="str">
        <f t="shared" ca="1" si="31"/>
        <v/>
      </c>
      <c r="J64" s="122">
        <f ca="1">IF(ISTEXT($F64),"",MAX($P$19:P63,$F64))</f>
        <v>0.48402777777777739</v>
      </c>
      <c r="K64" s="122">
        <f ca="1">IF(ISTEXT($F64),"",MAX($R$19:R63,$F64))</f>
        <v>0.48402777777777739</v>
      </c>
      <c r="L64" s="122">
        <f t="shared" ca="1" si="32"/>
        <v>0.48263888888888851</v>
      </c>
      <c r="M64" s="122">
        <f t="shared" ca="1" si="33"/>
        <v>0.48263888888888851</v>
      </c>
      <c r="N64" s="115">
        <f t="shared" ca="1" si="34"/>
        <v>3</v>
      </c>
      <c r="O64" s="122" t="str">
        <f t="shared" ca="1" si="35"/>
        <v/>
      </c>
      <c r="P64" s="122">
        <f t="shared" ca="1" si="36"/>
        <v>0.48402777777777739</v>
      </c>
      <c r="Q64" s="122" t="str">
        <f t="shared" ca="1" si="37"/>
        <v/>
      </c>
      <c r="R64" s="122">
        <f t="shared" ca="1" si="38"/>
        <v>0.48402777777777739</v>
      </c>
      <c r="S64" s="122">
        <f t="shared" ca="1" si="39"/>
        <v>0.48263888888888851</v>
      </c>
      <c r="T64" s="122">
        <f t="shared" ca="1" si="40"/>
        <v>0.4874999999999996</v>
      </c>
      <c r="U64" s="122">
        <f t="shared" ca="1" si="41"/>
        <v>0</v>
      </c>
      <c r="V64" s="122">
        <f t="shared" ca="1" si="42"/>
        <v>4.8611111111111112E-3</v>
      </c>
      <c r="W64" s="122">
        <f t="shared" ca="1" si="43"/>
        <v>4.8611111111110938E-3</v>
      </c>
      <c r="X64" s="122">
        <f t="shared" ca="1" si="44"/>
        <v>4.8611111111111112E-3</v>
      </c>
      <c r="Y64" s="122">
        <f t="shared" ca="1" si="45"/>
        <v>0.4874999999999996</v>
      </c>
      <c r="Z64" s="115">
        <f t="shared" ca="1" si="24"/>
        <v>0</v>
      </c>
    </row>
    <row r="65" spans="1:26" x14ac:dyDescent="0.35">
      <c r="A65" s="115">
        <f t="shared" ca="1" si="25"/>
        <v>46</v>
      </c>
      <c r="B65" s="115">
        <f t="shared" ca="1" si="1"/>
        <v>3</v>
      </c>
      <c r="C65" s="122">
        <f t="shared" ca="1" si="26"/>
        <v>2.0833333333333333E-3</v>
      </c>
      <c r="D65" s="115">
        <f t="shared" ca="1" si="2"/>
        <v>7</v>
      </c>
      <c r="E65" s="122">
        <f t="shared" ca="1" si="27"/>
        <v>4.8611111111111112E-3</v>
      </c>
      <c r="F65" s="122">
        <f t="shared" ca="1" si="28"/>
        <v>0.48472222222222183</v>
      </c>
      <c r="G65" s="122">
        <f t="shared" ca="1" si="29"/>
        <v>0</v>
      </c>
      <c r="H65" s="115" t="str">
        <f t="shared" ca="1" si="30"/>
        <v/>
      </c>
      <c r="I65" s="122" t="str">
        <f t="shared" ca="1" si="31"/>
        <v/>
      </c>
      <c r="J65" s="122">
        <f ca="1">IF(ISTEXT($F65),"",MAX($P$19:P64,$F65))</f>
        <v>0.48472222222222183</v>
      </c>
      <c r="K65" s="122">
        <f ca="1">IF(ISTEXT($F65),"",MAX($R$19:R64,$F65))</f>
        <v>0.48472222222222183</v>
      </c>
      <c r="L65" s="122">
        <f t="shared" ca="1" si="32"/>
        <v>0.4874999999999996</v>
      </c>
      <c r="M65" s="122">
        <f t="shared" ca="1" si="33"/>
        <v>0.48472222222222183</v>
      </c>
      <c r="N65" s="115">
        <f t="shared" ca="1" si="34"/>
        <v>1</v>
      </c>
      <c r="O65" s="122">
        <f t="shared" ca="1" si="35"/>
        <v>0.48472222222222183</v>
      </c>
      <c r="P65" s="122">
        <f t="shared" ca="1" si="36"/>
        <v>0.48958333333333293</v>
      </c>
      <c r="Q65" s="122" t="str">
        <f t="shared" ca="1" si="37"/>
        <v/>
      </c>
      <c r="R65" s="122">
        <f t="shared" ca="1" si="38"/>
        <v>0.48402777777777739</v>
      </c>
      <c r="S65" s="122" t="str">
        <f t="shared" ca="1" si="39"/>
        <v/>
      </c>
      <c r="T65" s="122">
        <f t="shared" ca="1" si="40"/>
        <v>0.4874999999999996</v>
      </c>
      <c r="U65" s="122">
        <f t="shared" ca="1" si="41"/>
        <v>0</v>
      </c>
      <c r="V65" s="122">
        <f t="shared" ca="1" si="42"/>
        <v>4.8611111111111112E-3</v>
      </c>
      <c r="W65" s="122">
        <f t="shared" ca="1" si="43"/>
        <v>4.8611111111110938E-3</v>
      </c>
      <c r="X65" s="122">
        <f t="shared" ca="1" si="44"/>
        <v>4.8611111111111112E-3</v>
      </c>
      <c r="Y65" s="122">
        <f t="shared" ca="1" si="45"/>
        <v>0.48958333333333293</v>
      </c>
      <c r="Z65" s="115">
        <f t="shared" ca="1" si="24"/>
        <v>0</v>
      </c>
    </row>
    <row r="66" spans="1:26" x14ac:dyDescent="0.35">
      <c r="A66" s="115">
        <f t="shared" ca="1" si="25"/>
        <v>47</v>
      </c>
      <c r="B66" s="115">
        <f t="shared" ca="1" si="1"/>
        <v>3</v>
      </c>
      <c r="C66" s="122">
        <f t="shared" ca="1" si="26"/>
        <v>2.0833333333333333E-3</v>
      </c>
      <c r="D66" s="115">
        <f t="shared" ca="1" si="2"/>
        <v>8</v>
      </c>
      <c r="E66" s="122">
        <f t="shared" ca="1" si="27"/>
        <v>5.5555555555555558E-3</v>
      </c>
      <c r="F66" s="122">
        <f t="shared" ca="1" si="28"/>
        <v>0.48680555555555516</v>
      </c>
      <c r="G66" s="122">
        <f t="shared" ca="1" si="29"/>
        <v>0</v>
      </c>
      <c r="H66" s="115" t="str">
        <f t="shared" ca="1" si="30"/>
        <v/>
      </c>
      <c r="I66" s="122" t="str">
        <f t="shared" ca="1" si="31"/>
        <v/>
      </c>
      <c r="J66" s="122">
        <f ca="1">IF(ISTEXT($F66),"",MAX($P$19:P65,$F66))</f>
        <v>0.48958333333333293</v>
      </c>
      <c r="K66" s="122">
        <f ca="1">IF(ISTEXT($F66),"",MAX($R$19:R65,$F66))</f>
        <v>0.48680555555555516</v>
      </c>
      <c r="L66" s="122">
        <f t="shared" ca="1" si="32"/>
        <v>0.4874999999999996</v>
      </c>
      <c r="M66" s="122">
        <f t="shared" ca="1" si="33"/>
        <v>0.48680555555555516</v>
      </c>
      <c r="N66" s="115">
        <f t="shared" ca="1" si="34"/>
        <v>2</v>
      </c>
      <c r="O66" s="122" t="str">
        <f t="shared" ca="1" si="35"/>
        <v/>
      </c>
      <c r="P66" s="122">
        <f t="shared" ca="1" si="36"/>
        <v>0.48958333333333293</v>
      </c>
      <c r="Q66" s="122">
        <f t="shared" ca="1" si="37"/>
        <v>0.48680555555555516</v>
      </c>
      <c r="R66" s="122">
        <f t="shared" ca="1" si="38"/>
        <v>0.49236111111111069</v>
      </c>
      <c r="S66" s="122" t="str">
        <f t="shared" ca="1" si="39"/>
        <v/>
      </c>
      <c r="T66" s="122">
        <f t="shared" ca="1" si="40"/>
        <v>0.4874999999999996</v>
      </c>
      <c r="U66" s="122">
        <f t="shared" ca="1" si="41"/>
        <v>0</v>
      </c>
      <c r="V66" s="122">
        <f t="shared" ca="1" si="42"/>
        <v>5.5555555555555558E-3</v>
      </c>
      <c r="W66" s="122">
        <f t="shared" ca="1" si="43"/>
        <v>5.5555555555555358E-3</v>
      </c>
      <c r="X66" s="122">
        <f t="shared" ca="1" si="44"/>
        <v>5.5555555555555558E-3</v>
      </c>
      <c r="Y66" s="122">
        <f t="shared" ca="1" si="45"/>
        <v>0.49236111111111069</v>
      </c>
      <c r="Z66" s="115">
        <f t="shared" ca="1" si="24"/>
        <v>0</v>
      </c>
    </row>
    <row r="67" spans="1:26" x14ac:dyDescent="0.35">
      <c r="A67" s="115">
        <f t="shared" ca="1" si="25"/>
        <v>48</v>
      </c>
      <c r="B67" s="115">
        <f t="shared" ca="1" si="1"/>
        <v>5</v>
      </c>
      <c r="C67" s="122">
        <f t="shared" ca="1" si="26"/>
        <v>3.472222222222222E-3</v>
      </c>
      <c r="D67" s="115">
        <f t="shared" ca="1" si="2"/>
        <v>8</v>
      </c>
      <c r="E67" s="122">
        <f t="shared" ca="1" si="27"/>
        <v>5.5555555555555558E-3</v>
      </c>
      <c r="F67" s="122">
        <f t="shared" ca="1" si="28"/>
        <v>0.49027777777777737</v>
      </c>
      <c r="G67" s="122">
        <f t="shared" ca="1" si="29"/>
        <v>0</v>
      </c>
      <c r="H67" s="115" t="str">
        <f t="shared" ca="1" si="30"/>
        <v/>
      </c>
      <c r="I67" s="122" t="str">
        <f t="shared" ca="1" si="31"/>
        <v/>
      </c>
      <c r="J67" s="122">
        <f ca="1">IF(ISTEXT($F67),"",MAX($P$19:P66,$F67))</f>
        <v>0.49027777777777737</v>
      </c>
      <c r="K67" s="122">
        <f ca="1">IF(ISTEXT($F67),"",MAX($R$19:R66,$F67))</f>
        <v>0.49236111111111069</v>
      </c>
      <c r="L67" s="122">
        <f t="shared" ca="1" si="32"/>
        <v>0.49027777777777737</v>
      </c>
      <c r="M67" s="122">
        <f t="shared" ca="1" si="33"/>
        <v>0.49027777777777737</v>
      </c>
      <c r="N67" s="115">
        <f t="shared" ca="1" si="34"/>
        <v>1</v>
      </c>
      <c r="O67" s="122">
        <f t="shared" ca="1" si="35"/>
        <v>0.49027777777777737</v>
      </c>
      <c r="P67" s="122">
        <f t="shared" ca="1" si="36"/>
        <v>0.4958333333333329</v>
      </c>
      <c r="Q67" s="122" t="str">
        <f t="shared" ca="1" si="37"/>
        <v/>
      </c>
      <c r="R67" s="122">
        <f t="shared" ca="1" si="38"/>
        <v>0.49236111111111069</v>
      </c>
      <c r="S67" s="122" t="str">
        <f t="shared" ca="1" si="39"/>
        <v/>
      </c>
      <c r="T67" s="122">
        <f t="shared" ca="1" si="40"/>
        <v>0.4874999999999996</v>
      </c>
      <c r="U67" s="122">
        <f t="shared" ca="1" si="41"/>
        <v>0</v>
      </c>
      <c r="V67" s="122">
        <f t="shared" ca="1" si="42"/>
        <v>5.5555555555555558E-3</v>
      </c>
      <c r="W67" s="122">
        <f t="shared" ca="1" si="43"/>
        <v>5.5555555555555358E-3</v>
      </c>
      <c r="X67" s="122">
        <f t="shared" ca="1" si="44"/>
        <v>5.5555555555555558E-3</v>
      </c>
      <c r="Y67" s="122">
        <f t="shared" ca="1" si="45"/>
        <v>0.4958333333333329</v>
      </c>
      <c r="Z67" s="115">
        <f t="shared" ca="1" si="24"/>
        <v>0</v>
      </c>
    </row>
    <row r="68" spans="1:26" x14ac:dyDescent="0.35">
      <c r="A68" s="115">
        <f t="shared" ca="1" si="25"/>
        <v>49</v>
      </c>
      <c r="B68" s="115">
        <f t="shared" ca="1" si="1"/>
        <v>1</v>
      </c>
      <c r="C68" s="122">
        <f t="shared" ca="1" si="26"/>
        <v>6.9444444444444447E-4</v>
      </c>
      <c r="D68" s="115">
        <f t="shared" ca="1" si="2"/>
        <v>8</v>
      </c>
      <c r="E68" s="122">
        <f t="shared" ca="1" si="27"/>
        <v>5.5555555555555558E-3</v>
      </c>
      <c r="F68" s="122">
        <f t="shared" ca="1" si="28"/>
        <v>0.49097222222222181</v>
      </c>
      <c r="G68" s="122">
        <f t="shared" ca="1" si="29"/>
        <v>0</v>
      </c>
      <c r="H68" s="115" t="str">
        <f t="shared" ca="1" si="30"/>
        <v/>
      </c>
      <c r="I68" s="122" t="str">
        <f t="shared" ca="1" si="31"/>
        <v/>
      </c>
      <c r="J68" s="122">
        <f ca="1">IF(ISTEXT($F68),"",MAX($P$19:P67,$F68))</f>
        <v>0.4958333333333329</v>
      </c>
      <c r="K68" s="122">
        <f ca="1">IF(ISTEXT($F68),"",MAX($R$19:R67,$F68))</f>
        <v>0.49236111111111069</v>
      </c>
      <c r="L68" s="122">
        <f t="shared" ca="1" si="32"/>
        <v>0.49097222222222181</v>
      </c>
      <c r="M68" s="122">
        <f t="shared" ca="1" si="33"/>
        <v>0.49097222222222181</v>
      </c>
      <c r="N68" s="115">
        <f t="shared" ca="1" si="34"/>
        <v>3</v>
      </c>
      <c r="O68" s="122" t="str">
        <f t="shared" ca="1" si="35"/>
        <v/>
      </c>
      <c r="P68" s="122">
        <f t="shared" ca="1" si="36"/>
        <v>0.4958333333333329</v>
      </c>
      <c r="Q68" s="122" t="str">
        <f t="shared" ca="1" si="37"/>
        <v/>
      </c>
      <c r="R68" s="122">
        <f t="shared" ca="1" si="38"/>
        <v>0.49236111111111069</v>
      </c>
      <c r="S68" s="122">
        <f t="shared" ca="1" si="39"/>
        <v>0.49097222222222181</v>
      </c>
      <c r="T68" s="122">
        <f t="shared" ca="1" si="40"/>
        <v>0.49652777777777735</v>
      </c>
      <c r="U68" s="122">
        <f t="shared" ca="1" si="41"/>
        <v>0</v>
      </c>
      <c r="V68" s="122">
        <f t="shared" ca="1" si="42"/>
        <v>5.5555555555555558E-3</v>
      </c>
      <c r="W68" s="122">
        <f t="shared" ca="1" si="43"/>
        <v>5.5555555555555358E-3</v>
      </c>
      <c r="X68" s="122">
        <f t="shared" ca="1" si="44"/>
        <v>5.5555555555555558E-3</v>
      </c>
      <c r="Y68" s="122">
        <f t="shared" ca="1" si="45"/>
        <v>0.49652777777777735</v>
      </c>
      <c r="Z68" s="115">
        <f t="shared" ca="1" si="24"/>
        <v>0</v>
      </c>
    </row>
    <row r="69" spans="1:26" x14ac:dyDescent="0.35">
      <c r="A69" s="115">
        <f t="shared" ca="1" si="25"/>
        <v>50</v>
      </c>
      <c r="B69" s="115">
        <f t="shared" ca="1" si="1"/>
        <v>1</v>
      </c>
      <c r="C69" s="122">
        <f t="shared" ca="1" si="26"/>
        <v>6.9444444444444447E-4</v>
      </c>
      <c r="D69" s="115">
        <f t="shared" ca="1" si="2"/>
        <v>3</v>
      </c>
      <c r="E69" s="122">
        <f t="shared" ca="1" si="27"/>
        <v>2.0833333333333333E-3</v>
      </c>
      <c r="F69" s="122">
        <f t="shared" ca="1" si="28"/>
        <v>0.49166666666666625</v>
      </c>
      <c r="G69" s="122">
        <f t="shared" ca="1" si="29"/>
        <v>6.9444444444444198E-4</v>
      </c>
      <c r="H69" s="115" t="str">
        <f t="shared" ca="1" si="30"/>
        <v/>
      </c>
      <c r="I69" s="122" t="str">
        <f t="shared" ca="1" si="31"/>
        <v/>
      </c>
      <c r="J69" s="122">
        <f ca="1">IF(ISTEXT($F69),"",MAX($P$19:P68,$F69))</f>
        <v>0.4958333333333329</v>
      </c>
      <c r="K69" s="122">
        <f ca="1">IF(ISTEXT($F69),"",MAX($R$19:R68,$F69))</f>
        <v>0.49236111111111069</v>
      </c>
      <c r="L69" s="122">
        <f t="shared" ca="1" si="32"/>
        <v>0.49652777777777735</v>
      </c>
      <c r="M69" s="122">
        <f t="shared" ca="1" si="33"/>
        <v>0.49236111111111069</v>
      </c>
      <c r="N69" s="115">
        <f t="shared" ca="1" si="34"/>
        <v>2</v>
      </c>
      <c r="O69" s="122" t="str">
        <f t="shared" ca="1" si="35"/>
        <v/>
      </c>
      <c r="P69" s="122">
        <f t="shared" ca="1" si="36"/>
        <v>0.4958333333333329</v>
      </c>
      <c r="Q69" s="122">
        <f t="shared" ca="1" si="37"/>
        <v>0.49236111111111069</v>
      </c>
      <c r="R69" s="122">
        <f t="shared" ca="1" si="38"/>
        <v>0.49444444444444402</v>
      </c>
      <c r="S69" s="122" t="str">
        <f t="shared" ca="1" si="39"/>
        <v/>
      </c>
      <c r="T69" s="122">
        <f t="shared" ca="1" si="40"/>
        <v>0.49652777777777735</v>
      </c>
      <c r="U69" s="122">
        <f t="shared" ca="1" si="41"/>
        <v>6.9444444444444198E-4</v>
      </c>
      <c r="V69" s="122">
        <f t="shared" ca="1" si="42"/>
        <v>2.0833333333333333E-3</v>
      </c>
      <c r="W69" s="122">
        <f t="shared" ca="1" si="43"/>
        <v>2.7777777777777679E-3</v>
      </c>
      <c r="X69" s="122">
        <f t="shared" ca="1" si="44"/>
        <v>2.7777777777777753E-3</v>
      </c>
      <c r="Y69" s="122">
        <f t="shared" ca="1" si="45"/>
        <v>0.49444444444444402</v>
      </c>
      <c r="Z69" s="115">
        <f t="shared" ca="1" si="24"/>
        <v>0</v>
      </c>
    </row>
    <row r="70" spans="1:26" x14ac:dyDescent="0.35">
      <c r="A70" s="115">
        <f t="shared" ca="1" si="25"/>
        <v>51</v>
      </c>
      <c r="B70" s="115">
        <f t="shared" ca="1" si="1"/>
        <v>3</v>
      </c>
      <c r="C70" s="122">
        <f t="shared" ca="1" si="26"/>
        <v>2.0833333333333333E-3</v>
      </c>
      <c r="D70" s="115">
        <f t="shared" ca="1" si="2"/>
        <v>8</v>
      </c>
      <c r="E70" s="122">
        <f t="shared" ca="1" si="27"/>
        <v>5.5555555555555558E-3</v>
      </c>
      <c r="F70" s="122">
        <f t="shared" ca="1" si="28"/>
        <v>0.49374999999999958</v>
      </c>
      <c r="G70" s="122">
        <f t="shared" ca="1" si="29"/>
        <v>6.9444444444444198E-4</v>
      </c>
      <c r="H70" s="115" t="str">
        <f t="shared" ca="1" si="30"/>
        <v/>
      </c>
      <c r="I70" s="122" t="str">
        <f t="shared" ca="1" si="31"/>
        <v/>
      </c>
      <c r="J70" s="122">
        <f ca="1">IF(ISTEXT($F70),"",MAX($P$19:P69,$F70))</f>
        <v>0.4958333333333329</v>
      </c>
      <c r="K70" s="122">
        <f ca="1">IF(ISTEXT($F70),"",MAX($R$19:R69,$F70))</f>
        <v>0.49444444444444402</v>
      </c>
      <c r="L70" s="122">
        <f t="shared" ca="1" si="32"/>
        <v>0.49652777777777735</v>
      </c>
      <c r="M70" s="122">
        <f t="shared" ca="1" si="33"/>
        <v>0.49444444444444402</v>
      </c>
      <c r="N70" s="115">
        <f t="shared" ca="1" si="34"/>
        <v>2</v>
      </c>
      <c r="O70" s="122" t="str">
        <f t="shared" ca="1" si="35"/>
        <v/>
      </c>
      <c r="P70" s="122">
        <f t="shared" ca="1" si="36"/>
        <v>0.4958333333333329</v>
      </c>
      <c r="Q70" s="122">
        <f t="shared" ca="1" si="37"/>
        <v>0.49444444444444402</v>
      </c>
      <c r="R70" s="122">
        <f t="shared" ca="1" si="38"/>
        <v>0.49999999999999956</v>
      </c>
      <c r="S70" s="122" t="str">
        <f t="shared" ca="1" si="39"/>
        <v/>
      </c>
      <c r="T70" s="122">
        <f t="shared" ca="1" si="40"/>
        <v>0.49652777777777735</v>
      </c>
      <c r="U70" s="122">
        <f t="shared" ca="1" si="41"/>
        <v>6.9444444444444198E-4</v>
      </c>
      <c r="V70" s="122">
        <f t="shared" ca="1" si="42"/>
        <v>5.5555555555555558E-3</v>
      </c>
      <c r="W70" s="122">
        <f t="shared" ca="1" si="43"/>
        <v>6.2499999999999778E-3</v>
      </c>
      <c r="X70" s="122">
        <f t="shared" ca="1" si="44"/>
        <v>6.2499999999999977E-3</v>
      </c>
      <c r="Y70" s="122">
        <f t="shared" ca="1" si="45"/>
        <v>0.49999999999999956</v>
      </c>
      <c r="Z70" s="115">
        <f t="shared" ca="1" si="24"/>
        <v>0</v>
      </c>
    </row>
    <row r="71" spans="1:26" x14ac:dyDescent="0.35">
      <c r="A71" s="115">
        <f t="shared" ca="1" si="25"/>
        <v>52</v>
      </c>
      <c r="B71" s="115">
        <f t="shared" ca="1" si="1"/>
        <v>10</v>
      </c>
      <c r="C71" s="122">
        <f t="shared" ca="1" si="26"/>
        <v>6.9444444444444441E-3</v>
      </c>
      <c r="D71" s="115">
        <f t="shared" ca="1" si="2"/>
        <v>3</v>
      </c>
      <c r="E71" s="122">
        <f t="shared" ca="1" si="27"/>
        <v>2.0833333333333333E-3</v>
      </c>
      <c r="F71" s="122">
        <f t="shared" ca="1" si="28"/>
        <v>0.500694444444444</v>
      </c>
      <c r="G71" s="122">
        <f t="shared" ca="1" si="29"/>
        <v>0</v>
      </c>
      <c r="H71" s="115" t="str">
        <f t="shared" ca="1" si="30"/>
        <v/>
      </c>
      <c r="I71" s="122" t="str">
        <f t="shared" ca="1" si="31"/>
        <v/>
      </c>
      <c r="J71" s="122">
        <f ca="1">IF(ISTEXT($F71),"",MAX($P$19:P70,$F71))</f>
        <v>0.500694444444444</v>
      </c>
      <c r="K71" s="122">
        <f ca="1">IF(ISTEXT($F71),"",MAX($R$19:R70,$F71))</f>
        <v>0.500694444444444</v>
      </c>
      <c r="L71" s="122">
        <f t="shared" ca="1" si="32"/>
        <v>0.500694444444444</v>
      </c>
      <c r="M71" s="122">
        <f t="shared" ca="1" si="33"/>
        <v>0.500694444444444</v>
      </c>
      <c r="N71" s="115">
        <f t="shared" ca="1" si="34"/>
        <v>1</v>
      </c>
      <c r="O71" s="122">
        <f t="shared" ca="1" si="35"/>
        <v>0.500694444444444</v>
      </c>
      <c r="P71" s="122">
        <f t="shared" ca="1" si="36"/>
        <v>0.50277777777777732</v>
      </c>
      <c r="Q71" s="122" t="str">
        <f t="shared" ca="1" si="37"/>
        <v/>
      </c>
      <c r="R71" s="122">
        <f t="shared" ca="1" si="38"/>
        <v>0.49999999999999956</v>
      </c>
      <c r="S71" s="122" t="str">
        <f t="shared" ca="1" si="39"/>
        <v/>
      </c>
      <c r="T71" s="122">
        <f t="shared" ca="1" si="40"/>
        <v>0.49652777777777735</v>
      </c>
      <c r="U71" s="122">
        <f t="shared" ca="1" si="41"/>
        <v>0</v>
      </c>
      <c r="V71" s="122">
        <f t="shared" ca="1" si="42"/>
        <v>2.0833333333333333E-3</v>
      </c>
      <c r="W71" s="122">
        <f t="shared" ca="1" si="43"/>
        <v>2.0833333333333259E-3</v>
      </c>
      <c r="X71" s="122">
        <f t="shared" ca="1" si="44"/>
        <v>2.0833333333333333E-3</v>
      </c>
      <c r="Y71" s="122">
        <f t="shared" ca="1" si="45"/>
        <v>0.50277777777777732</v>
      </c>
      <c r="Z71" s="115">
        <f t="shared" ca="1" si="24"/>
        <v>0</v>
      </c>
    </row>
    <row r="72" spans="1:26" x14ac:dyDescent="0.35">
      <c r="A72" s="115">
        <f t="shared" ca="1" si="25"/>
        <v>53</v>
      </c>
      <c r="B72" s="115">
        <f t="shared" ca="1" si="1"/>
        <v>1</v>
      </c>
      <c r="C72" s="122">
        <f t="shared" ca="1" si="26"/>
        <v>6.9444444444444447E-4</v>
      </c>
      <c r="D72" s="115">
        <f t="shared" ca="1" si="2"/>
        <v>7</v>
      </c>
      <c r="E72" s="122">
        <f t="shared" ca="1" si="27"/>
        <v>4.8611111111111112E-3</v>
      </c>
      <c r="F72" s="122">
        <f t="shared" ca="1" si="28"/>
        <v>0.50138888888888844</v>
      </c>
      <c r="G72" s="122">
        <f t="shared" ca="1" si="29"/>
        <v>0</v>
      </c>
      <c r="H72" s="115" t="str">
        <f t="shared" ca="1" si="30"/>
        <v/>
      </c>
      <c r="I72" s="122" t="str">
        <f t="shared" ca="1" si="31"/>
        <v/>
      </c>
      <c r="J72" s="122">
        <f ca="1">IF(ISTEXT($F72),"",MAX($P$19:P71,$F72))</f>
        <v>0.50277777777777732</v>
      </c>
      <c r="K72" s="122">
        <f ca="1">IF(ISTEXT($F72),"",MAX($R$19:R71,$F72))</f>
        <v>0.50138888888888844</v>
      </c>
      <c r="L72" s="122">
        <f t="shared" ca="1" si="32"/>
        <v>0.50138888888888844</v>
      </c>
      <c r="M72" s="122">
        <f t="shared" ca="1" si="33"/>
        <v>0.50138888888888844</v>
      </c>
      <c r="N72" s="115">
        <f t="shared" ca="1" si="34"/>
        <v>2</v>
      </c>
      <c r="O72" s="122" t="str">
        <f t="shared" ca="1" si="35"/>
        <v/>
      </c>
      <c r="P72" s="122">
        <f t="shared" ca="1" si="36"/>
        <v>0.50277777777777732</v>
      </c>
      <c r="Q72" s="122">
        <f t="shared" ca="1" si="37"/>
        <v>0.50138888888888844</v>
      </c>
      <c r="R72" s="122">
        <f t="shared" ca="1" si="38"/>
        <v>0.50624999999999953</v>
      </c>
      <c r="S72" s="122" t="str">
        <f t="shared" ca="1" si="39"/>
        <v/>
      </c>
      <c r="T72" s="122">
        <f t="shared" ca="1" si="40"/>
        <v>0.49652777777777735</v>
      </c>
      <c r="U72" s="122">
        <f t="shared" ca="1" si="41"/>
        <v>0</v>
      </c>
      <c r="V72" s="122">
        <f t="shared" ca="1" si="42"/>
        <v>4.8611111111111112E-3</v>
      </c>
      <c r="W72" s="122">
        <f t="shared" ca="1" si="43"/>
        <v>4.8611111111110938E-3</v>
      </c>
      <c r="X72" s="122">
        <f t="shared" ca="1" si="44"/>
        <v>4.8611111111111112E-3</v>
      </c>
      <c r="Y72" s="122">
        <f t="shared" ca="1" si="45"/>
        <v>0.50624999999999953</v>
      </c>
      <c r="Z72" s="115">
        <f t="shared" ca="1" si="24"/>
        <v>0</v>
      </c>
    </row>
    <row r="73" spans="1:26" x14ac:dyDescent="0.35">
      <c r="A73" s="115">
        <f t="shared" ca="1" si="25"/>
        <v>54</v>
      </c>
      <c r="B73" s="115">
        <f t="shared" ca="1" si="1"/>
        <v>3</v>
      </c>
      <c r="C73" s="122">
        <f t="shared" ca="1" si="26"/>
        <v>2.0833333333333333E-3</v>
      </c>
      <c r="D73" s="115">
        <f t="shared" ca="1" si="2"/>
        <v>8</v>
      </c>
      <c r="E73" s="122">
        <f t="shared" ca="1" si="27"/>
        <v>5.5555555555555558E-3</v>
      </c>
      <c r="F73" s="122">
        <f t="shared" ca="1" si="28"/>
        <v>0.50347222222222177</v>
      </c>
      <c r="G73" s="122">
        <f t="shared" ca="1" si="29"/>
        <v>0</v>
      </c>
      <c r="H73" s="115" t="str">
        <f t="shared" ca="1" si="30"/>
        <v/>
      </c>
      <c r="I73" s="122" t="str">
        <f t="shared" ca="1" si="31"/>
        <v/>
      </c>
      <c r="J73" s="122">
        <f ca="1">IF(ISTEXT($F73),"",MAX($P$19:P72,$F73))</f>
        <v>0.50347222222222177</v>
      </c>
      <c r="K73" s="122">
        <f ca="1">IF(ISTEXT($F73),"",MAX($R$19:R72,$F73))</f>
        <v>0.50624999999999953</v>
      </c>
      <c r="L73" s="122">
        <f t="shared" ca="1" si="32"/>
        <v>0.50347222222222177</v>
      </c>
      <c r="M73" s="122">
        <f t="shared" ca="1" si="33"/>
        <v>0.50347222222222177</v>
      </c>
      <c r="N73" s="115">
        <f t="shared" ca="1" si="34"/>
        <v>1</v>
      </c>
      <c r="O73" s="122">
        <f t="shared" ca="1" si="35"/>
        <v>0.50347222222222177</v>
      </c>
      <c r="P73" s="122">
        <f t="shared" ca="1" si="36"/>
        <v>0.5090277777777773</v>
      </c>
      <c r="Q73" s="122" t="str">
        <f t="shared" ca="1" si="37"/>
        <v/>
      </c>
      <c r="R73" s="122">
        <f t="shared" ca="1" si="38"/>
        <v>0.50624999999999953</v>
      </c>
      <c r="S73" s="122" t="str">
        <f t="shared" ca="1" si="39"/>
        <v/>
      </c>
      <c r="T73" s="122">
        <f t="shared" ca="1" si="40"/>
        <v>0.49652777777777735</v>
      </c>
      <c r="U73" s="122">
        <f t="shared" ca="1" si="41"/>
        <v>0</v>
      </c>
      <c r="V73" s="122">
        <f t="shared" ca="1" si="42"/>
        <v>5.5555555555555558E-3</v>
      </c>
      <c r="W73" s="122">
        <f t="shared" ca="1" si="43"/>
        <v>5.5555555555555358E-3</v>
      </c>
      <c r="X73" s="122">
        <f t="shared" ca="1" si="44"/>
        <v>5.5555555555555558E-3</v>
      </c>
      <c r="Y73" s="122">
        <f t="shared" ca="1" si="45"/>
        <v>0.5090277777777773</v>
      </c>
      <c r="Z73" s="115">
        <f t="shared" ca="1" si="24"/>
        <v>0</v>
      </c>
    </row>
    <row r="74" spans="1:26" x14ac:dyDescent="0.35">
      <c r="A74" s="115">
        <f t="shared" ca="1" si="25"/>
        <v>55</v>
      </c>
      <c r="B74" s="115">
        <f t="shared" ca="1" si="1"/>
        <v>3</v>
      </c>
      <c r="C74" s="122">
        <f t="shared" ca="1" si="26"/>
        <v>2.0833333333333333E-3</v>
      </c>
      <c r="D74" s="115">
        <f t="shared" ca="1" si="2"/>
        <v>3</v>
      </c>
      <c r="E74" s="122">
        <f t="shared" ca="1" si="27"/>
        <v>2.0833333333333333E-3</v>
      </c>
      <c r="F74" s="122">
        <f t="shared" ca="1" si="28"/>
        <v>0.50555555555555509</v>
      </c>
      <c r="G74" s="122">
        <f t="shared" ca="1" si="29"/>
        <v>0</v>
      </c>
      <c r="H74" s="115" t="str">
        <f t="shared" ca="1" si="30"/>
        <v/>
      </c>
      <c r="I74" s="122" t="str">
        <f t="shared" ca="1" si="31"/>
        <v/>
      </c>
      <c r="J74" s="122">
        <f ca="1">IF(ISTEXT($F74),"",MAX($P$19:P73,$F74))</f>
        <v>0.5090277777777773</v>
      </c>
      <c r="K74" s="122">
        <f ca="1">IF(ISTEXT($F74),"",MAX($R$19:R73,$F74))</f>
        <v>0.50624999999999953</v>
      </c>
      <c r="L74" s="122">
        <f t="shared" ca="1" si="32"/>
        <v>0.50555555555555509</v>
      </c>
      <c r="M74" s="122">
        <f t="shared" ca="1" si="33"/>
        <v>0.50555555555555509</v>
      </c>
      <c r="N74" s="115">
        <f t="shared" ca="1" si="34"/>
        <v>3</v>
      </c>
      <c r="O74" s="122" t="str">
        <f t="shared" ca="1" si="35"/>
        <v/>
      </c>
      <c r="P74" s="122">
        <f t="shared" ca="1" si="36"/>
        <v>0.5090277777777773</v>
      </c>
      <c r="Q74" s="122" t="str">
        <f t="shared" ca="1" si="37"/>
        <v/>
      </c>
      <c r="R74" s="122">
        <f t="shared" ca="1" si="38"/>
        <v>0.50624999999999953</v>
      </c>
      <c r="S74" s="122">
        <f t="shared" ca="1" si="39"/>
        <v>0.50555555555555509</v>
      </c>
      <c r="T74" s="122">
        <f t="shared" ca="1" si="40"/>
        <v>0.50763888888888842</v>
      </c>
      <c r="U74" s="122">
        <f t="shared" ca="1" si="41"/>
        <v>0</v>
      </c>
      <c r="V74" s="122">
        <f t="shared" ca="1" si="42"/>
        <v>2.0833333333333333E-3</v>
      </c>
      <c r="W74" s="122">
        <f t="shared" ca="1" si="43"/>
        <v>2.0833333333333259E-3</v>
      </c>
      <c r="X74" s="122">
        <f t="shared" ca="1" si="44"/>
        <v>2.0833333333333333E-3</v>
      </c>
      <c r="Y74" s="122">
        <f t="shared" ca="1" si="45"/>
        <v>0.50763888888888842</v>
      </c>
      <c r="Z74" s="115">
        <f t="shared" ca="1" si="24"/>
        <v>0</v>
      </c>
    </row>
    <row r="75" spans="1:26" x14ac:dyDescent="0.35">
      <c r="A75" s="115">
        <f t="shared" ca="1" si="25"/>
        <v>56</v>
      </c>
      <c r="B75" s="115">
        <f t="shared" ca="1" si="1"/>
        <v>1</v>
      </c>
      <c r="C75" s="122">
        <f t="shared" ca="1" si="26"/>
        <v>6.9444444444444447E-4</v>
      </c>
      <c r="D75" s="115">
        <f t="shared" ca="1" si="2"/>
        <v>3</v>
      </c>
      <c r="E75" s="122">
        <f t="shared" ca="1" si="27"/>
        <v>2.0833333333333333E-3</v>
      </c>
      <c r="F75" s="122">
        <f t="shared" ca="1" si="28"/>
        <v>0.50624999999999953</v>
      </c>
      <c r="G75" s="122">
        <f t="shared" ca="1" si="29"/>
        <v>0</v>
      </c>
      <c r="H75" s="115" t="str">
        <f t="shared" ca="1" si="30"/>
        <v/>
      </c>
      <c r="I75" s="122" t="str">
        <f t="shared" ca="1" si="31"/>
        <v/>
      </c>
      <c r="J75" s="122">
        <f ca="1">IF(ISTEXT($F75),"",MAX($P$19:P74,$F75))</f>
        <v>0.5090277777777773</v>
      </c>
      <c r="K75" s="122">
        <f ca="1">IF(ISTEXT($F75),"",MAX($R$19:R74,$F75))</f>
        <v>0.50624999999999953</v>
      </c>
      <c r="L75" s="122">
        <f t="shared" ca="1" si="32"/>
        <v>0.50763888888888842</v>
      </c>
      <c r="M75" s="122">
        <f t="shared" ca="1" si="33"/>
        <v>0.50624999999999953</v>
      </c>
      <c r="N75" s="115">
        <f t="shared" ca="1" si="34"/>
        <v>2</v>
      </c>
      <c r="O75" s="122" t="str">
        <f t="shared" ca="1" si="35"/>
        <v/>
      </c>
      <c r="P75" s="122">
        <f t="shared" ca="1" si="36"/>
        <v>0.5090277777777773</v>
      </c>
      <c r="Q75" s="122">
        <f t="shared" ca="1" si="37"/>
        <v>0.50624999999999953</v>
      </c>
      <c r="R75" s="122">
        <f t="shared" ca="1" si="38"/>
        <v>0.50833333333333286</v>
      </c>
      <c r="S75" s="122" t="str">
        <f t="shared" ca="1" si="39"/>
        <v/>
      </c>
      <c r="T75" s="122">
        <f t="shared" ca="1" si="40"/>
        <v>0.50763888888888842</v>
      </c>
      <c r="U75" s="122">
        <f t="shared" ca="1" si="41"/>
        <v>0</v>
      </c>
      <c r="V75" s="122">
        <f t="shared" ca="1" si="42"/>
        <v>2.0833333333333333E-3</v>
      </c>
      <c r="W75" s="122">
        <f t="shared" ca="1" si="43"/>
        <v>2.0833333333333259E-3</v>
      </c>
      <c r="X75" s="122">
        <f t="shared" ca="1" si="44"/>
        <v>2.0833333333333333E-3</v>
      </c>
      <c r="Y75" s="122">
        <f t="shared" ca="1" si="45"/>
        <v>0.50833333333333286</v>
      </c>
      <c r="Z75" s="115">
        <f t="shared" ca="1" si="24"/>
        <v>0</v>
      </c>
    </row>
    <row r="76" spans="1:26" x14ac:dyDescent="0.35">
      <c r="A76" s="115">
        <f t="shared" ca="1" si="25"/>
        <v>57</v>
      </c>
      <c r="B76" s="115">
        <f t="shared" ca="1" si="1"/>
        <v>3</v>
      </c>
      <c r="C76" s="122">
        <f t="shared" ca="1" si="26"/>
        <v>2.0833333333333333E-3</v>
      </c>
      <c r="D76" s="115">
        <f t="shared" ca="1" si="2"/>
        <v>7</v>
      </c>
      <c r="E76" s="122">
        <f t="shared" ca="1" si="27"/>
        <v>4.8611111111111112E-3</v>
      </c>
      <c r="F76" s="122">
        <f t="shared" ca="1" si="28"/>
        <v>0.50833333333333286</v>
      </c>
      <c r="G76" s="122">
        <f t="shared" ca="1" si="29"/>
        <v>0</v>
      </c>
      <c r="H76" s="115" t="str">
        <f t="shared" ca="1" si="30"/>
        <v/>
      </c>
      <c r="I76" s="122" t="str">
        <f t="shared" ca="1" si="31"/>
        <v/>
      </c>
      <c r="J76" s="122">
        <f ca="1">IF(ISTEXT($F76),"",MAX($P$19:P75,$F76))</f>
        <v>0.5090277777777773</v>
      </c>
      <c r="K76" s="122">
        <f ca="1">IF(ISTEXT($F76),"",MAX($R$19:R75,$F76))</f>
        <v>0.50833333333333286</v>
      </c>
      <c r="L76" s="122">
        <f t="shared" ca="1" si="32"/>
        <v>0.50833333333333286</v>
      </c>
      <c r="M76" s="122">
        <f t="shared" ca="1" si="33"/>
        <v>0.50833333333333286</v>
      </c>
      <c r="N76" s="115">
        <f t="shared" ca="1" si="34"/>
        <v>2</v>
      </c>
      <c r="O76" s="122" t="str">
        <f t="shared" ca="1" si="35"/>
        <v/>
      </c>
      <c r="P76" s="122">
        <f t="shared" ca="1" si="36"/>
        <v>0.5090277777777773</v>
      </c>
      <c r="Q76" s="122">
        <f t="shared" ca="1" si="37"/>
        <v>0.50833333333333286</v>
      </c>
      <c r="R76" s="122">
        <f t="shared" ca="1" si="38"/>
        <v>0.51319444444444395</v>
      </c>
      <c r="S76" s="122" t="str">
        <f t="shared" ca="1" si="39"/>
        <v/>
      </c>
      <c r="T76" s="122">
        <f t="shared" ca="1" si="40"/>
        <v>0.50763888888888842</v>
      </c>
      <c r="U76" s="122">
        <f t="shared" ca="1" si="41"/>
        <v>0</v>
      </c>
      <c r="V76" s="122">
        <f t="shared" ca="1" si="42"/>
        <v>4.8611111111111112E-3</v>
      </c>
      <c r="W76" s="122">
        <f t="shared" ca="1" si="43"/>
        <v>4.8611111111110938E-3</v>
      </c>
      <c r="X76" s="122">
        <f t="shared" ca="1" si="44"/>
        <v>4.8611111111111112E-3</v>
      </c>
      <c r="Y76" s="122">
        <f t="shared" ca="1" si="45"/>
        <v>0.51319444444444395</v>
      </c>
      <c r="Z76" s="115">
        <f t="shared" ca="1" si="24"/>
        <v>0</v>
      </c>
    </row>
    <row r="77" spans="1:26" x14ac:dyDescent="0.35">
      <c r="A77" s="115">
        <f t="shared" ca="1" si="25"/>
        <v>58</v>
      </c>
      <c r="B77" s="115">
        <f t="shared" ca="1" si="1"/>
        <v>5</v>
      </c>
      <c r="C77" s="122">
        <f t="shared" ca="1" si="26"/>
        <v>3.472222222222222E-3</v>
      </c>
      <c r="D77" s="115">
        <f t="shared" ca="1" si="2"/>
        <v>8</v>
      </c>
      <c r="E77" s="122">
        <f t="shared" ca="1" si="27"/>
        <v>5.5555555555555558E-3</v>
      </c>
      <c r="F77" s="122">
        <f t="shared" ca="1" si="28"/>
        <v>0.51180555555555507</v>
      </c>
      <c r="G77" s="122">
        <f t="shared" ca="1" si="29"/>
        <v>0</v>
      </c>
      <c r="H77" s="115" t="str">
        <f t="shared" ca="1" si="30"/>
        <v/>
      </c>
      <c r="I77" s="122" t="str">
        <f t="shared" ca="1" si="31"/>
        <v/>
      </c>
      <c r="J77" s="122">
        <f ca="1">IF(ISTEXT($F77),"",MAX($P$19:P76,$F77))</f>
        <v>0.51180555555555507</v>
      </c>
      <c r="K77" s="122">
        <f ca="1">IF(ISTEXT($F77),"",MAX($R$19:R76,$F77))</f>
        <v>0.51319444444444395</v>
      </c>
      <c r="L77" s="122">
        <f t="shared" ca="1" si="32"/>
        <v>0.51180555555555507</v>
      </c>
      <c r="M77" s="122">
        <f t="shared" ca="1" si="33"/>
        <v>0.51180555555555507</v>
      </c>
      <c r="N77" s="115">
        <f t="shared" ca="1" si="34"/>
        <v>1</v>
      </c>
      <c r="O77" s="122">
        <f t="shared" ca="1" si="35"/>
        <v>0.51180555555555507</v>
      </c>
      <c r="P77" s="122">
        <f t="shared" ca="1" si="36"/>
        <v>0.51736111111111061</v>
      </c>
      <c r="Q77" s="122" t="str">
        <f t="shared" ca="1" si="37"/>
        <v/>
      </c>
      <c r="R77" s="122">
        <f t="shared" ca="1" si="38"/>
        <v>0.51319444444444395</v>
      </c>
      <c r="S77" s="122" t="str">
        <f t="shared" ca="1" si="39"/>
        <v/>
      </c>
      <c r="T77" s="122">
        <f t="shared" ca="1" si="40"/>
        <v>0.50763888888888842</v>
      </c>
      <c r="U77" s="122">
        <f t="shared" ca="1" si="41"/>
        <v>0</v>
      </c>
      <c r="V77" s="122">
        <f t="shared" ca="1" si="42"/>
        <v>5.5555555555555558E-3</v>
      </c>
      <c r="W77" s="122">
        <f t="shared" ca="1" si="43"/>
        <v>5.5555555555555358E-3</v>
      </c>
      <c r="X77" s="122">
        <f t="shared" ca="1" si="44"/>
        <v>5.5555555555555558E-3</v>
      </c>
      <c r="Y77" s="122">
        <f t="shared" ca="1" si="45"/>
        <v>0.51736111111111061</v>
      </c>
      <c r="Z77" s="115">
        <f t="shared" ca="1" si="24"/>
        <v>0</v>
      </c>
    </row>
    <row r="78" spans="1:26" x14ac:dyDescent="0.35">
      <c r="A78" s="115">
        <f t="shared" ca="1" si="25"/>
        <v>59</v>
      </c>
      <c r="B78" s="115">
        <f t="shared" ca="1" si="1"/>
        <v>3</v>
      </c>
      <c r="C78" s="122">
        <f t="shared" ca="1" si="26"/>
        <v>2.0833333333333333E-3</v>
      </c>
      <c r="D78" s="115">
        <f t="shared" ca="1" si="2"/>
        <v>7</v>
      </c>
      <c r="E78" s="122">
        <f t="shared" ca="1" si="27"/>
        <v>4.8611111111111112E-3</v>
      </c>
      <c r="F78" s="122">
        <f t="shared" ca="1" si="28"/>
        <v>0.5138888888888884</v>
      </c>
      <c r="G78" s="122">
        <f t="shared" ca="1" si="29"/>
        <v>0</v>
      </c>
      <c r="H78" s="115" t="str">
        <f t="shared" ca="1" si="30"/>
        <v/>
      </c>
      <c r="I78" s="122" t="str">
        <f t="shared" ca="1" si="31"/>
        <v/>
      </c>
      <c r="J78" s="122">
        <f ca="1">IF(ISTEXT($F78),"",MAX($P$19:P77,$F78))</f>
        <v>0.51736111111111061</v>
      </c>
      <c r="K78" s="122">
        <f ca="1">IF(ISTEXT($F78),"",MAX($R$19:R77,$F78))</f>
        <v>0.5138888888888884</v>
      </c>
      <c r="L78" s="122">
        <f t="shared" ca="1" si="32"/>
        <v>0.5138888888888884</v>
      </c>
      <c r="M78" s="122">
        <f t="shared" ca="1" si="33"/>
        <v>0.5138888888888884</v>
      </c>
      <c r="N78" s="115">
        <f t="shared" ca="1" si="34"/>
        <v>2</v>
      </c>
      <c r="O78" s="122" t="str">
        <f t="shared" ca="1" si="35"/>
        <v/>
      </c>
      <c r="P78" s="122">
        <f t="shared" ca="1" si="36"/>
        <v>0.51736111111111061</v>
      </c>
      <c r="Q78" s="122">
        <f t="shared" ca="1" si="37"/>
        <v>0.5138888888888884</v>
      </c>
      <c r="R78" s="122">
        <f t="shared" ca="1" si="38"/>
        <v>0.51874999999999949</v>
      </c>
      <c r="S78" s="122" t="str">
        <f t="shared" ca="1" si="39"/>
        <v/>
      </c>
      <c r="T78" s="122">
        <f t="shared" ca="1" si="40"/>
        <v>0.50763888888888842</v>
      </c>
      <c r="U78" s="122">
        <f t="shared" ca="1" si="41"/>
        <v>0</v>
      </c>
      <c r="V78" s="122">
        <f t="shared" ca="1" si="42"/>
        <v>4.8611111111111112E-3</v>
      </c>
      <c r="W78" s="122">
        <f t="shared" ca="1" si="43"/>
        <v>4.8611111111110938E-3</v>
      </c>
      <c r="X78" s="122">
        <f t="shared" ca="1" si="44"/>
        <v>4.8611111111111112E-3</v>
      </c>
      <c r="Y78" s="122">
        <f t="shared" ca="1" si="45"/>
        <v>0.51874999999999949</v>
      </c>
      <c r="Z78" s="115">
        <f t="shared" ca="1" si="24"/>
        <v>0</v>
      </c>
    </row>
    <row r="79" spans="1:26" x14ac:dyDescent="0.35">
      <c r="A79" s="115">
        <f t="shared" ca="1" si="25"/>
        <v>60</v>
      </c>
      <c r="B79" s="115">
        <f t="shared" ca="1" si="1"/>
        <v>3</v>
      </c>
      <c r="C79" s="122">
        <f t="shared" ca="1" si="26"/>
        <v>2.0833333333333333E-3</v>
      </c>
      <c r="D79" s="115">
        <f t="shared" ca="1" si="2"/>
        <v>7</v>
      </c>
      <c r="E79" s="122">
        <f t="shared" ca="1" si="27"/>
        <v>4.8611111111111112E-3</v>
      </c>
      <c r="F79" s="122">
        <f t="shared" ca="1" si="28"/>
        <v>0.51597222222222172</v>
      </c>
      <c r="G79" s="122">
        <f t="shared" ca="1" si="29"/>
        <v>0</v>
      </c>
      <c r="H79" s="115" t="str">
        <f t="shared" ca="1" si="30"/>
        <v/>
      </c>
      <c r="I79" s="122" t="str">
        <f t="shared" ca="1" si="31"/>
        <v/>
      </c>
      <c r="J79" s="122">
        <f ca="1">IF(ISTEXT($F79),"",MAX($P$19:P78,$F79))</f>
        <v>0.51736111111111061</v>
      </c>
      <c r="K79" s="122">
        <f ca="1">IF(ISTEXT($F79),"",MAX($R$19:R78,$F79))</f>
        <v>0.51874999999999949</v>
      </c>
      <c r="L79" s="122">
        <f t="shared" ca="1" si="32"/>
        <v>0.51597222222222172</v>
      </c>
      <c r="M79" s="122">
        <f t="shared" ca="1" si="33"/>
        <v>0.51597222222222172</v>
      </c>
      <c r="N79" s="115">
        <f t="shared" ca="1" si="34"/>
        <v>3</v>
      </c>
      <c r="O79" s="122" t="str">
        <f t="shared" ca="1" si="35"/>
        <v/>
      </c>
      <c r="P79" s="122">
        <f t="shared" ca="1" si="36"/>
        <v>0.51736111111111061</v>
      </c>
      <c r="Q79" s="122" t="str">
        <f t="shared" ca="1" si="37"/>
        <v/>
      </c>
      <c r="R79" s="122">
        <f t="shared" ca="1" si="38"/>
        <v>0.51874999999999949</v>
      </c>
      <c r="S79" s="122">
        <f t="shared" ca="1" si="39"/>
        <v>0.51597222222222172</v>
      </c>
      <c r="T79" s="122">
        <f t="shared" ca="1" si="40"/>
        <v>0.52083333333333282</v>
      </c>
      <c r="U79" s="122">
        <f t="shared" ca="1" si="41"/>
        <v>0</v>
      </c>
      <c r="V79" s="122">
        <f t="shared" ca="1" si="42"/>
        <v>4.8611111111111112E-3</v>
      </c>
      <c r="W79" s="122">
        <f t="shared" ca="1" si="43"/>
        <v>4.8611111111110938E-3</v>
      </c>
      <c r="X79" s="122">
        <f t="shared" ca="1" si="44"/>
        <v>4.8611111111111112E-3</v>
      </c>
      <c r="Y79" s="122">
        <f t="shared" ca="1" si="45"/>
        <v>0.52083333333333282</v>
      </c>
      <c r="Z79" s="115">
        <f t="shared" ca="1" si="24"/>
        <v>0</v>
      </c>
    </row>
    <row r="80" spans="1:26" x14ac:dyDescent="0.35">
      <c r="A80" s="115">
        <f t="shared" ca="1" si="25"/>
        <v>61</v>
      </c>
      <c r="B80" s="115">
        <f t="shared" ca="1" si="1"/>
        <v>1</v>
      </c>
      <c r="C80" s="122">
        <f t="shared" ca="1" si="26"/>
        <v>6.9444444444444447E-4</v>
      </c>
      <c r="D80" s="115">
        <f t="shared" ca="1" si="2"/>
        <v>3</v>
      </c>
      <c r="E80" s="122">
        <f t="shared" ca="1" si="27"/>
        <v>2.0833333333333333E-3</v>
      </c>
      <c r="F80" s="122">
        <f t="shared" ca="1" si="28"/>
        <v>0.51666666666666616</v>
      </c>
      <c r="G80" s="122">
        <f t="shared" ca="1" si="29"/>
        <v>6.9444444444444198E-4</v>
      </c>
      <c r="H80" s="115" t="str">
        <f t="shared" ca="1" si="30"/>
        <v/>
      </c>
      <c r="I80" s="122" t="str">
        <f t="shared" ca="1" si="31"/>
        <v/>
      </c>
      <c r="J80" s="122">
        <f ca="1">IF(ISTEXT($F80),"",MAX($P$19:P79,$F80))</f>
        <v>0.51736111111111061</v>
      </c>
      <c r="K80" s="122">
        <f ca="1">IF(ISTEXT($F80),"",MAX($R$19:R79,$F80))</f>
        <v>0.51874999999999949</v>
      </c>
      <c r="L80" s="122">
        <f t="shared" ca="1" si="32"/>
        <v>0.52083333333333282</v>
      </c>
      <c r="M80" s="122">
        <f t="shared" ca="1" si="33"/>
        <v>0.51736111111111061</v>
      </c>
      <c r="N80" s="115">
        <f t="shared" ca="1" si="34"/>
        <v>1</v>
      </c>
      <c r="O80" s="122">
        <f t="shared" ca="1" si="35"/>
        <v>0.51736111111111061</v>
      </c>
      <c r="P80" s="122">
        <f t="shared" ca="1" si="36"/>
        <v>0.51944444444444393</v>
      </c>
      <c r="Q80" s="122" t="str">
        <f t="shared" ca="1" si="37"/>
        <v/>
      </c>
      <c r="R80" s="122">
        <f t="shared" ca="1" si="38"/>
        <v>0.51874999999999949</v>
      </c>
      <c r="S80" s="122" t="str">
        <f t="shared" ca="1" si="39"/>
        <v/>
      </c>
      <c r="T80" s="122">
        <f t="shared" ca="1" si="40"/>
        <v>0.52083333333333282</v>
      </c>
      <c r="U80" s="122">
        <f t="shared" ca="1" si="41"/>
        <v>6.9444444444444198E-4</v>
      </c>
      <c r="V80" s="122">
        <f t="shared" ca="1" si="42"/>
        <v>2.0833333333333333E-3</v>
      </c>
      <c r="W80" s="122">
        <f t="shared" ca="1" si="43"/>
        <v>2.7777777777777679E-3</v>
      </c>
      <c r="X80" s="122">
        <f t="shared" ca="1" si="44"/>
        <v>2.7777777777777753E-3</v>
      </c>
      <c r="Y80" s="122">
        <f t="shared" ca="1" si="45"/>
        <v>0.51944444444444393</v>
      </c>
      <c r="Z80" s="115">
        <f t="shared" ca="1" si="24"/>
        <v>0</v>
      </c>
    </row>
    <row r="81" spans="1:26" x14ac:dyDescent="0.35">
      <c r="A81" s="115">
        <f t="shared" ca="1" si="25"/>
        <v>62</v>
      </c>
      <c r="B81" s="115">
        <f t="shared" ca="1" si="1"/>
        <v>1</v>
      </c>
      <c r="C81" s="122">
        <f t="shared" ca="1" si="26"/>
        <v>6.9444444444444447E-4</v>
      </c>
      <c r="D81" s="115">
        <f t="shared" ca="1" si="2"/>
        <v>7</v>
      </c>
      <c r="E81" s="122">
        <f t="shared" ca="1" si="27"/>
        <v>4.8611111111111112E-3</v>
      </c>
      <c r="F81" s="122">
        <f t="shared" ca="1" si="28"/>
        <v>0.51736111111111061</v>
      </c>
      <c r="G81" s="122">
        <f t="shared" ca="1" si="29"/>
        <v>1.388888888888884E-3</v>
      </c>
      <c r="H81" s="115" t="str">
        <f t="shared" ca="1" si="30"/>
        <v/>
      </c>
      <c r="I81" s="122" t="str">
        <f t="shared" ca="1" si="31"/>
        <v/>
      </c>
      <c r="J81" s="122">
        <f ca="1">IF(ISTEXT($F81),"",MAX($P$19:P80,$F81))</f>
        <v>0.51944444444444393</v>
      </c>
      <c r="K81" s="122">
        <f ca="1">IF(ISTEXT($F81),"",MAX($R$19:R80,$F81))</f>
        <v>0.51874999999999949</v>
      </c>
      <c r="L81" s="122">
        <f t="shared" ca="1" si="32"/>
        <v>0.52083333333333282</v>
      </c>
      <c r="M81" s="122">
        <f t="shared" ca="1" si="33"/>
        <v>0.51874999999999949</v>
      </c>
      <c r="N81" s="115">
        <f t="shared" ca="1" si="34"/>
        <v>2</v>
      </c>
      <c r="O81" s="122" t="str">
        <f t="shared" ca="1" si="35"/>
        <v/>
      </c>
      <c r="P81" s="122">
        <f t="shared" ca="1" si="36"/>
        <v>0.51944444444444393</v>
      </c>
      <c r="Q81" s="122">
        <f t="shared" ca="1" si="37"/>
        <v>0.51874999999999949</v>
      </c>
      <c r="R81" s="122">
        <f t="shared" ca="1" si="38"/>
        <v>0.52361111111111058</v>
      </c>
      <c r="S81" s="122" t="str">
        <f t="shared" ca="1" si="39"/>
        <v/>
      </c>
      <c r="T81" s="122">
        <f t="shared" ca="1" si="40"/>
        <v>0.52083333333333282</v>
      </c>
      <c r="U81" s="122">
        <f t="shared" ca="1" si="41"/>
        <v>1.388888888888884E-3</v>
      </c>
      <c r="V81" s="122">
        <f t="shared" ca="1" si="42"/>
        <v>4.8611111111111112E-3</v>
      </c>
      <c r="W81" s="122">
        <f t="shared" ca="1" si="43"/>
        <v>6.2499999999999778E-3</v>
      </c>
      <c r="X81" s="122">
        <f t="shared" ca="1" si="44"/>
        <v>6.2499999999999951E-3</v>
      </c>
      <c r="Y81" s="122">
        <f t="shared" ca="1" si="45"/>
        <v>0.52361111111111058</v>
      </c>
      <c r="Z81" s="115">
        <f t="shared" ca="1" si="24"/>
        <v>0</v>
      </c>
    </row>
    <row r="82" spans="1:26" x14ac:dyDescent="0.35">
      <c r="A82" s="115">
        <f t="shared" ca="1" si="25"/>
        <v>63</v>
      </c>
      <c r="B82" s="115">
        <f t="shared" ca="1" si="1"/>
        <v>1</v>
      </c>
      <c r="C82" s="122">
        <f t="shared" ca="1" si="26"/>
        <v>6.9444444444444447E-4</v>
      </c>
      <c r="D82" s="115">
        <f t="shared" ca="1" si="2"/>
        <v>8</v>
      </c>
      <c r="E82" s="122">
        <f t="shared" ca="1" si="27"/>
        <v>5.5555555555555558E-3</v>
      </c>
      <c r="F82" s="122">
        <f t="shared" ca="1" si="28"/>
        <v>0.51805555555555505</v>
      </c>
      <c r="G82" s="122">
        <f t="shared" ca="1" si="29"/>
        <v>1.388888888888884E-3</v>
      </c>
      <c r="H82" s="115" t="str">
        <f t="shared" ca="1" si="30"/>
        <v/>
      </c>
      <c r="I82" s="122" t="str">
        <f t="shared" ca="1" si="31"/>
        <v/>
      </c>
      <c r="J82" s="122">
        <f ca="1">IF(ISTEXT($F82),"",MAX($P$19:P81,$F82))</f>
        <v>0.51944444444444393</v>
      </c>
      <c r="K82" s="122">
        <f ca="1">IF(ISTEXT($F82),"",MAX($R$19:R81,$F82))</f>
        <v>0.52361111111111058</v>
      </c>
      <c r="L82" s="122">
        <f t="shared" ca="1" si="32"/>
        <v>0.52083333333333282</v>
      </c>
      <c r="M82" s="122">
        <f t="shared" ca="1" si="33"/>
        <v>0.51944444444444393</v>
      </c>
      <c r="N82" s="115">
        <f t="shared" ca="1" si="34"/>
        <v>1</v>
      </c>
      <c r="O82" s="122">
        <f t="shared" ca="1" si="35"/>
        <v>0.51944444444444393</v>
      </c>
      <c r="P82" s="122">
        <f t="shared" ca="1" si="36"/>
        <v>0.52499999999999947</v>
      </c>
      <c r="Q82" s="122" t="str">
        <f t="shared" ca="1" si="37"/>
        <v/>
      </c>
      <c r="R82" s="122">
        <f t="shared" ca="1" si="38"/>
        <v>0.52361111111111058</v>
      </c>
      <c r="S82" s="122" t="str">
        <f t="shared" ca="1" si="39"/>
        <v/>
      </c>
      <c r="T82" s="122">
        <f t="shared" ca="1" si="40"/>
        <v>0.52083333333333282</v>
      </c>
      <c r="U82" s="122">
        <f t="shared" ca="1" si="41"/>
        <v>1.388888888888884E-3</v>
      </c>
      <c r="V82" s="122">
        <f t="shared" ca="1" si="42"/>
        <v>5.5555555555555558E-3</v>
      </c>
      <c r="W82" s="122">
        <f t="shared" ca="1" si="43"/>
        <v>6.9444444444444198E-3</v>
      </c>
      <c r="X82" s="122">
        <f t="shared" ca="1" si="44"/>
        <v>6.9444444444444397E-3</v>
      </c>
      <c r="Y82" s="122">
        <f t="shared" ca="1" si="45"/>
        <v>0.52499999999999947</v>
      </c>
      <c r="Z82" s="115">
        <f t="shared" ca="1" si="24"/>
        <v>0</v>
      </c>
    </row>
    <row r="83" spans="1:26" x14ac:dyDescent="0.35">
      <c r="A83" s="115">
        <f t="shared" ca="1" si="25"/>
        <v>64</v>
      </c>
      <c r="B83" s="115">
        <f t="shared" ca="1" si="1"/>
        <v>1</v>
      </c>
      <c r="C83" s="122">
        <f t="shared" ca="1" si="26"/>
        <v>6.9444444444444447E-4</v>
      </c>
      <c r="D83" s="115">
        <f t="shared" ca="1" si="2"/>
        <v>8</v>
      </c>
      <c r="E83" s="122">
        <f t="shared" ca="1" si="27"/>
        <v>5.5555555555555558E-3</v>
      </c>
      <c r="F83" s="122">
        <f t="shared" ca="1" si="28"/>
        <v>0.51874999999999949</v>
      </c>
      <c r="G83" s="122">
        <f t="shared" ca="1" si="29"/>
        <v>2.0833333333333259E-3</v>
      </c>
      <c r="H83" s="115" t="str">
        <f t="shared" ca="1" si="30"/>
        <v>Ушел</v>
      </c>
      <c r="I83" s="122">
        <f t="shared" ca="1" si="31"/>
        <v>0.52013888888888837</v>
      </c>
      <c r="J83" s="122">
        <f ca="1">IF(ISTEXT($F83),"",MAX($P$19:P82,$F83))</f>
        <v>0.52499999999999947</v>
      </c>
      <c r="K83" s="122">
        <f ca="1">IF(ISTEXT($F83),"",MAX($R$19:R82,$F83))</f>
        <v>0.52361111111111058</v>
      </c>
      <c r="L83" s="122">
        <f t="shared" ca="1" si="32"/>
        <v>0.52083333333333282</v>
      </c>
      <c r="M83" s="122">
        <f t="shared" ca="1" si="33"/>
        <v>0.52083333333333282</v>
      </c>
      <c r="N83" s="115" t="str">
        <f t="shared" ca="1" si="34"/>
        <v/>
      </c>
      <c r="O83" s="122" t="str">
        <f t="shared" ca="1" si="35"/>
        <v/>
      </c>
      <c r="P83" s="122">
        <f t="shared" ca="1" si="36"/>
        <v>0.52499999999999947</v>
      </c>
      <c r="Q83" s="122" t="str">
        <f t="shared" ca="1" si="37"/>
        <v/>
      </c>
      <c r="R83" s="122">
        <f t="shared" ca="1" si="38"/>
        <v>0.52361111111111058</v>
      </c>
      <c r="S83" s="122" t="str">
        <f t="shared" ca="1" si="39"/>
        <v/>
      </c>
      <c r="T83" s="122">
        <f t="shared" ca="1" si="40"/>
        <v>0.52083333333333282</v>
      </c>
      <c r="U83" s="122">
        <f t="shared" ca="1" si="41"/>
        <v>1.388888888888884E-3</v>
      </c>
      <c r="V83" s="122" t="str">
        <f t="shared" ca="1" si="42"/>
        <v/>
      </c>
      <c r="W83" s="122">
        <f t="shared" ca="1" si="43"/>
        <v>1.388888888888884E-3</v>
      </c>
      <c r="X83" s="122">
        <f t="shared" ca="1" si="44"/>
        <v>1.388888888888884E-3</v>
      </c>
      <c r="Y83" s="122">
        <f t="shared" ca="1" si="45"/>
        <v>0.52013888888888837</v>
      </c>
      <c r="Z83" s="115">
        <f t="shared" ca="1" si="24"/>
        <v>0</v>
      </c>
    </row>
    <row r="84" spans="1:26" x14ac:dyDescent="0.35">
      <c r="A84" s="115">
        <f t="shared" ca="1" si="25"/>
        <v>65</v>
      </c>
      <c r="B84" s="115">
        <f t="shared" ref="B84:B119" ca="1" si="46">VLOOKUP(RAND(),IAT,3)</f>
        <v>10</v>
      </c>
      <c r="C84" s="122">
        <f t="shared" ca="1" si="26"/>
        <v>6.9444444444444441E-3</v>
      </c>
      <c r="D84" s="115">
        <f t="shared" ref="D84:D119" ca="1" si="47">VLOOKUP(RAND(),ST,3)</f>
        <v>7</v>
      </c>
      <c r="E84" s="122">
        <f t="shared" ca="1" si="27"/>
        <v>4.8611111111111112E-3</v>
      </c>
      <c r="F84" s="122">
        <f t="shared" ca="1" si="28"/>
        <v>0.52569444444444391</v>
      </c>
      <c r="G84" s="122">
        <f t="shared" ca="1" si="29"/>
        <v>0</v>
      </c>
      <c r="H84" s="115" t="str">
        <f t="shared" ca="1" si="30"/>
        <v/>
      </c>
      <c r="I84" s="122" t="str">
        <f t="shared" ca="1" si="31"/>
        <v/>
      </c>
      <c r="J84" s="122">
        <f ca="1">IF(ISTEXT($F84),"",MAX($P$19:P83,$F84))</f>
        <v>0.52569444444444391</v>
      </c>
      <c r="K84" s="122">
        <f ca="1">IF(ISTEXT($F84),"",MAX($R$19:R83,$F84))</f>
        <v>0.52569444444444391</v>
      </c>
      <c r="L84" s="122">
        <f t="shared" ca="1" si="32"/>
        <v>0.52569444444444391</v>
      </c>
      <c r="M84" s="122">
        <f t="shared" ca="1" si="33"/>
        <v>0.52569444444444391</v>
      </c>
      <c r="N84" s="115">
        <f t="shared" ca="1" si="34"/>
        <v>1</v>
      </c>
      <c r="O84" s="122">
        <f t="shared" ca="1" si="35"/>
        <v>0.52569444444444391</v>
      </c>
      <c r="P84" s="122">
        <f t="shared" ca="1" si="36"/>
        <v>0.530555555555555</v>
      </c>
      <c r="Q84" s="122" t="str">
        <f t="shared" ca="1" si="37"/>
        <v/>
      </c>
      <c r="R84" s="122">
        <f t="shared" ca="1" si="38"/>
        <v>0.52361111111111058</v>
      </c>
      <c r="S84" s="122" t="str">
        <f t="shared" ca="1" si="39"/>
        <v/>
      </c>
      <c r="T84" s="122">
        <f t="shared" ca="1" si="40"/>
        <v>0.52083333333333282</v>
      </c>
      <c r="U84" s="122">
        <f t="shared" ca="1" si="41"/>
        <v>0</v>
      </c>
      <c r="V84" s="122">
        <f t="shared" ca="1" si="42"/>
        <v>4.8611111111111112E-3</v>
      </c>
      <c r="W84" s="122">
        <f t="shared" ca="1" si="43"/>
        <v>4.8611111111110938E-3</v>
      </c>
      <c r="X84" s="122">
        <f t="shared" ca="1" si="44"/>
        <v>4.8611111111111112E-3</v>
      </c>
      <c r="Y84" s="122">
        <f t="shared" ca="1" si="45"/>
        <v>0.530555555555555</v>
      </c>
      <c r="Z84" s="115">
        <f t="shared" ca="1" si="24"/>
        <v>0</v>
      </c>
    </row>
    <row r="85" spans="1:26" x14ac:dyDescent="0.35">
      <c r="A85" s="115">
        <f t="shared" ca="1" si="25"/>
        <v>66</v>
      </c>
      <c r="B85" s="115">
        <f t="shared" ca="1" si="46"/>
        <v>10</v>
      </c>
      <c r="C85" s="122">
        <f t="shared" ca="1" si="26"/>
        <v>6.9444444444444441E-3</v>
      </c>
      <c r="D85" s="115">
        <f t="shared" ca="1" si="47"/>
        <v>7</v>
      </c>
      <c r="E85" s="122">
        <f t="shared" ca="1" si="27"/>
        <v>4.8611111111111112E-3</v>
      </c>
      <c r="F85" s="122">
        <f t="shared" ca="1" si="28"/>
        <v>0.53263888888888833</v>
      </c>
      <c r="G85" s="122">
        <f t="shared" ca="1" si="29"/>
        <v>0</v>
      </c>
      <c r="H85" s="115" t="str">
        <f t="shared" ca="1" si="30"/>
        <v/>
      </c>
      <c r="I85" s="122" t="str">
        <f t="shared" ca="1" si="31"/>
        <v/>
      </c>
      <c r="J85" s="122">
        <f ca="1">IF(ISTEXT($F85),"",MAX($P$19:P84,$F85))</f>
        <v>0.53263888888888833</v>
      </c>
      <c r="K85" s="122">
        <f ca="1">IF(ISTEXT($F85),"",MAX($R$19:R84,$F85))</f>
        <v>0.53263888888888833</v>
      </c>
      <c r="L85" s="122">
        <f t="shared" ca="1" si="32"/>
        <v>0.53263888888888833</v>
      </c>
      <c r="M85" s="122">
        <f t="shared" ca="1" si="33"/>
        <v>0.53263888888888833</v>
      </c>
      <c r="N85" s="115">
        <f t="shared" ca="1" si="34"/>
        <v>1</v>
      </c>
      <c r="O85" s="122">
        <f t="shared" ca="1" si="35"/>
        <v>0.53263888888888833</v>
      </c>
      <c r="P85" s="122">
        <f t="shared" ca="1" si="36"/>
        <v>0.53749999999999942</v>
      </c>
      <c r="Q85" s="122" t="str">
        <f t="shared" ca="1" si="37"/>
        <v/>
      </c>
      <c r="R85" s="122">
        <f t="shared" ca="1" si="38"/>
        <v>0.52361111111111058</v>
      </c>
      <c r="S85" s="122" t="str">
        <f t="shared" ca="1" si="39"/>
        <v/>
      </c>
      <c r="T85" s="122">
        <f t="shared" ca="1" si="40"/>
        <v>0.52083333333333282</v>
      </c>
      <c r="U85" s="122">
        <f t="shared" ca="1" si="41"/>
        <v>0</v>
      </c>
      <c r="V85" s="122">
        <f t="shared" ca="1" si="42"/>
        <v>4.8611111111111112E-3</v>
      </c>
      <c r="W85" s="122">
        <f t="shared" ca="1" si="43"/>
        <v>4.8611111111110938E-3</v>
      </c>
      <c r="X85" s="122">
        <f t="shared" ca="1" si="44"/>
        <v>4.8611111111111112E-3</v>
      </c>
      <c r="Y85" s="122">
        <f t="shared" ca="1" si="45"/>
        <v>0.53749999999999942</v>
      </c>
      <c r="Z85" s="115">
        <f t="shared" ref="Z85:Z92" ca="1" si="48">COUNTIF($M$19:$M$19,"&gt;"&amp;$F85)</f>
        <v>0</v>
      </c>
    </row>
    <row r="86" spans="1:26" x14ac:dyDescent="0.35">
      <c r="A86" s="115">
        <f t="shared" ca="1" si="25"/>
        <v>67</v>
      </c>
      <c r="B86" s="115">
        <f t="shared" ca="1" si="46"/>
        <v>1</v>
      </c>
      <c r="C86" s="122">
        <f t="shared" ca="1" si="26"/>
        <v>6.9444444444444447E-4</v>
      </c>
      <c r="D86" s="115">
        <f t="shared" ca="1" si="47"/>
        <v>3</v>
      </c>
      <c r="E86" s="122">
        <f t="shared" ca="1" si="27"/>
        <v>2.0833333333333333E-3</v>
      </c>
      <c r="F86" s="122">
        <f t="shared" ca="1" si="28"/>
        <v>0.53333333333333277</v>
      </c>
      <c r="G86" s="122">
        <f t="shared" ca="1" si="29"/>
        <v>0</v>
      </c>
      <c r="H86" s="115" t="str">
        <f t="shared" ca="1" si="30"/>
        <v/>
      </c>
      <c r="I86" s="122" t="str">
        <f t="shared" ca="1" si="31"/>
        <v/>
      </c>
      <c r="J86" s="122">
        <f ca="1">IF(ISTEXT($F86),"",MAX($P$19:P85,$F86))</f>
        <v>0.53749999999999942</v>
      </c>
      <c r="K86" s="122">
        <f ca="1">IF(ISTEXT($F86),"",MAX($R$19:R85,$F86))</f>
        <v>0.53333333333333277</v>
      </c>
      <c r="L86" s="122">
        <f t="shared" ca="1" si="32"/>
        <v>0.53333333333333277</v>
      </c>
      <c r="M86" s="122">
        <f t="shared" ca="1" si="33"/>
        <v>0.53333333333333277</v>
      </c>
      <c r="N86" s="115">
        <f t="shared" ca="1" si="34"/>
        <v>2</v>
      </c>
      <c r="O86" s="122" t="str">
        <f t="shared" ca="1" si="35"/>
        <v/>
      </c>
      <c r="P86" s="122">
        <f t="shared" ca="1" si="36"/>
        <v>0.53749999999999942</v>
      </c>
      <c r="Q86" s="122">
        <f t="shared" ca="1" si="37"/>
        <v>0.53333333333333277</v>
      </c>
      <c r="R86" s="122">
        <f t="shared" ca="1" si="38"/>
        <v>0.5354166666666661</v>
      </c>
      <c r="S86" s="122" t="str">
        <f t="shared" ca="1" si="39"/>
        <v/>
      </c>
      <c r="T86" s="122">
        <f t="shared" ca="1" si="40"/>
        <v>0.52083333333333282</v>
      </c>
      <c r="U86" s="122">
        <f t="shared" ca="1" si="41"/>
        <v>0</v>
      </c>
      <c r="V86" s="122">
        <f t="shared" ca="1" si="42"/>
        <v>2.0833333333333333E-3</v>
      </c>
      <c r="W86" s="122">
        <f t="shared" ca="1" si="43"/>
        <v>2.0833333333333259E-3</v>
      </c>
      <c r="X86" s="122">
        <f t="shared" ca="1" si="44"/>
        <v>2.0833333333333333E-3</v>
      </c>
      <c r="Y86" s="122">
        <f t="shared" ca="1" si="45"/>
        <v>0.5354166666666661</v>
      </c>
      <c r="Z86" s="115">
        <f t="shared" ca="1" si="48"/>
        <v>0</v>
      </c>
    </row>
    <row r="87" spans="1:26" x14ac:dyDescent="0.35">
      <c r="A87" s="115">
        <f t="shared" ca="1" si="25"/>
        <v>68</v>
      </c>
      <c r="B87" s="115">
        <f t="shared" ca="1" si="46"/>
        <v>1</v>
      </c>
      <c r="C87" s="122">
        <f t="shared" ca="1" si="26"/>
        <v>6.9444444444444447E-4</v>
      </c>
      <c r="D87" s="115">
        <f t="shared" ca="1" si="47"/>
        <v>8</v>
      </c>
      <c r="E87" s="122">
        <f t="shared" ca="1" si="27"/>
        <v>5.5555555555555558E-3</v>
      </c>
      <c r="F87" s="122">
        <f t="shared" ca="1" si="28"/>
        <v>0.53402777777777721</v>
      </c>
      <c r="G87" s="122">
        <f t="shared" ca="1" si="29"/>
        <v>0</v>
      </c>
      <c r="H87" s="115" t="str">
        <f t="shared" ca="1" si="30"/>
        <v/>
      </c>
      <c r="I87" s="122" t="str">
        <f t="shared" ca="1" si="31"/>
        <v/>
      </c>
      <c r="J87" s="122">
        <f ca="1">IF(ISTEXT($F87),"",MAX($P$19:P86,$F87))</f>
        <v>0.53749999999999942</v>
      </c>
      <c r="K87" s="122">
        <f ca="1">IF(ISTEXT($F87),"",MAX($R$19:R86,$F87))</f>
        <v>0.5354166666666661</v>
      </c>
      <c r="L87" s="122">
        <f t="shared" ca="1" si="32"/>
        <v>0.53402777777777721</v>
      </c>
      <c r="M87" s="122">
        <f t="shared" ca="1" si="33"/>
        <v>0.53402777777777721</v>
      </c>
      <c r="N87" s="115">
        <f t="shared" ca="1" si="34"/>
        <v>3</v>
      </c>
      <c r="O87" s="122" t="str">
        <f t="shared" ca="1" si="35"/>
        <v/>
      </c>
      <c r="P87" s="122">
        <f t="shared" ca="1" si="36"/>
        <v>0.53749999999999942</v>
      </c>
      <c r="Q87" s="122" t="str">
        <f t="shared" ca="1" si="37"/>
        <v/>
      </c>
      <c r="R87" s="122">
        <f t="shared" ca="1" si="38"/>
        <v>0.5354166666666661</v>
      </c>
      <c r="S87" s="122">
        <f t="shared" ca="1" si="39"/>
        <v>0.53402777777777721</v>
      </c>
      <c r="T87" s="122">
        <f t="shared" ca="1" si="40"/>
        <v>0.53958333333333275</v>
      </c>
      <c r="U87" s="122">
        <f t="shared" ca="1" si="41"/>
        <v>0</v>
      </c>
      <c r="V87" s="122">
        <f t="shared" ca="1" si="42"/>
        <v>5.5555555555555558E-3</v>
      </c>
      <c r="W87" s="122">
        <f t="shared" ca="1" si="43"/>
        <v>5.5555555555555358E-3</v>
      </c>
      <c r="X87" s="122">
        <f t="shared" ca="1" si="44"/>
        <v>5.5555555555555558E-3</v>
      </c>
      <c r="Y87" s="122">
        <f t="shared" ca="1" si="45"/>
        <v>0.53958333333333275</v>
      </c>
      <c r="Z87" s="115">
        <f t="shared" ca="1" si="48"/>
        <v>0</v>
      </c>
    </row>
    <row r="88" spans="1:26" x14ac:dyDescent="0.35">
      <c r="A88" s="115">
        <f t="shared" ca="1" si="25"/>
        <v>69</v>
      </c>
      <c r="B88" s="115">
        <f t="shared" ca="1" si="46"/>
        <v>10</v>
      </c>
      <c r="C88" s="122">
        <f t="shared" ca="1" si="26"/>
        <v>6.9444444444444441E-3</v>
      </c>
      <c r="D88" s="115">
        <f t="shared" ca="1" si="47"/>
        <v>7</v>
      </c>
      <c r="E88" s="122">
        <f t="shared" ca="1" si="27"/>
        <v>4.8611111111111112E-3</v>
      </c>
      <c r="F88" s="122">
        <f t="shared" ca="1" si="28"/>
        <v>0.54097222222222163</v>
      </c>
      <c r="G88" s="122">
        <f t="shared" ca="1" si="29"/>
        <v>0</v>
      </c>
      <c r="H88" s="115" t="str">
        <f t="shared" ca="1" si="30"/>
        <v/>
      </c>
      <c r="I88" s="122" t="str">
        <f t="shared" ca="1" si="31"/>
        <v/>
      </c>
      <c r="J88" s="122">
        <f ca="1">IF(ISTEXT($F88),"",MAX($P$19:P87,$F88))</f>
        <v>0.54097222222222163</v>
      </c>
      <c r="K88" s="122">
        <f ca="1">IF(ISTEXT($F88),"",MAX($R$19:R87,$F88))</f>
        <v>0.54097222222222163</v>
      </c>
      <c r="L88" s="122">
        <f t="shared" ca="1" si="32"/>
        <v>0.54097222222222163</v>
      </c>
      <c r="M88" s="122">
        <f t="shared" ca="1" si="33"/>
        <v>0.54097222222222163</v>
      </c>
      <c r="N88" s="115">
        <f t="shared" ca="1" si="34"/>
        <v>1</v>
      </c>
      <c r="O88" s="122">
        <f t="shared" ca="1" si="35"/>
        <v>0.54097222222222163</v>
      </c>
      <c r="P88" s="122">
        <f t="shared" ca="1" si="36"/>
        <v>0.54583333333333273</v>
      </c>
      <c r="Q88" s="122" t="str">
        <f t="shared" ca="1" si="37"/>
        <v/>
      </c>
      <c r="R88" s="122">
        <f t="shared" ca="1" si="38"/>
        <v>0.5354166666666661</v>
      </c>
      <c r="S88" s="122" t="str">
        <f t="shared" ca="1" si="39"/>
        <v/>
      </c>
      <c r="T88" s="122">
        <f t="shared" ca="1" si="40"/>
        <v>0.53958333333333275</v>
      </c>
      <c r="U88" s="122">
        <f t="shared" ca="1" si="41"/>
        <v>0</v>
      </c>
      <c r="V88" s="122">
        <f t="shared" ca="1" si="42"/>
        <v>4.8611111111111112E-3</v>
      </c>
      <c r="W88" s="122">
        <f ca="1">IFERROR(Y88-F88,"")</f>
        <v>4.8611111111110938E-3</v>
      </c>
      <c r="X88" s="122">
        <f t="shared" ca="1" si="44"/>
        <v>4.8611111111111112E-3</v>
      </c>
      <c r="Y88" s="122">
        <f t="shared" ca="1" si="45"/>
        <v>0.54583333333333273</v>
      </c>
      <c r="Z88" s="115">
        <f t="shared" ca="1" si="48"/>
        <v>0</v>
      </c>
    </row>
    <row r="89" spans="1:26" x14ac:dyDescent="0.35">
      <c r="A89" s="115">
        <f t="shared" ref="A89:A119" ca="1" si="49">IF(ISTEXT(F89),"Закрыто",A88+1)</f>
        <v>70</v>
      </c>
      <c r="B89" s="115">
        <f t="shared" ca="1" si="46"/>
        <v>3</v>
      </c>
      <c r="C89" s="122">
        <f t="shared" ref="C89:C119" ca="1" si="50">B89/1440</f>
        <v>2.0833333333333333E-3</v>
      </c>
      <c r="D89" s="115">
        <f t="shared" ca="1" si="47"/>
        <v>8</v>
      </c>
      <c r="E89" s="122">
        <f t="shared" ref="E89:E119" ca="1" si="51">D89/1440</f>
        <v>5.5555555555555558E-3</v>
      </c>
      <c r="F89" s="122">
        <f t="shared" ref="F89:F119" ca="1" si="52">IF(ISTEXT(F88),"",IF(F88+C89&gt;=closed,"Закрыто",F88+C89))</f>
        <v>0.54305555555555496</v>
      </c>
      <c r="G89" s="122">
        <f t="shared" ref="G89:G119" ca="1" si="53">IF(ISTEXT(F89),"",M89-F89)</f>
        <v>0</v>
      </c>
      <c r="H89" s="115" t="str">
        <f t="shared" ref="H89:H119" ca="1" si="54">IF(ISTEXT(F89),"",IF(G89&gt;(renegat/1440),"Ушел",""))</f>
        <v/>
      </c>
      <c r="I89" s="122" t="str">
        <f t="shared" ref="I89:I119" ca="1" si="55">IF(H89="Ушел",F89+(renegat/1440),"")</f>
        <v/>
      </c>
      <c r="J89" s="122">
        <f ca="1">IF(ISTEXT($F89),"",MAX($P$19:P88,$F89))</f>
        <v>0.54583333333333273</v>
      </c>
      <c r="K89" s="122">
        <f ca="1">IF(ISTEXT($F89),"",MAX($R$19:R88,$F89))</f>
        <v>0.54305555555555496</v>
      </c>
      <c r="L89" s="122">
        <f t="shared" ref="L89:L119" ca="1" si="56">IF(ISTEXT($F89),"",MAX(T87:T88,$F89))</f>
        <v>0.54305555555555496</v>
      </c>
      <c r="M89" s="122">
        <f t="shared" ref="M89:M119" ca="1" si="57">IF(ISTEXT(F89),"",MIN(J89:L89))</f>
        <v>0.54305555555555496</v>
      </c>
      <c r="N89" s="115">
        <f t="shared" ref="N89:N119" ca="1" si="58">IF(OR(ISTEXT(F89),H89="Ушел"),"",MATCH(M89,J89:L89,0))</f>
        <v>2</v>
      </c>
      <c r="O89" s="122" t="str">
        <f t="shared" ref="O89:O119" ca="1" si="59">IF($N89=1,M89,"")</f>
        <v/>
      </c>
      <c r="P89" s="122">
        <f t="shared" ref="P89:P119" ca="1" si="60">IF($N89=1,O89+$E89,P88)</f>
        <v>0.54583333333333273</v>
      </c>
      <c r="Q89" s="122">
        <f t="shared" ref="Q89:Q119" ca="1" si="61">IF($N89=2,M89,"")</f>
        <v>0.54305555555555496</v>
      </c>
      <c r="R89" s="122">
        <f t="shared" ref="R89:R119" ca="1" si="62">IF($N89=2,Q89+$E89,R88)</f>
        <v>0.54861111111111049</v>
      </c>
      <c r="S89" s="122" t="str">
        <f t="shared" ref="S89:S119" ca="1" si="63">IF($N89=3,M89,"")</f>
        <v/>
      </c>
      <c r="T89" s="122">
        <f t="shared" ref="T89:T119" ca="1" si="64">IF($N89=3,S89+$E89,T88)</f>
        <v>0.53958333333333275</v>
      </c>
      <c r="U89" s="122">
        <f t="shared" ref="U89:U119" ca="1" si="65">IF(H89="Ушел",I89-F89,G89)</f>
        <v>0</v>
      </c>
      <c r="V89" s="122">
        <f t="shared" ref="V89:V119" ca="1" si="66">IF(OR(H89="Ушел",A89="Закрыто"),"",E89)</f>
        <v>5.5555555555555558E-3</v>
      </c>
      <c r="W89" s="122">
        <f t="shared" ref="W89:W104" ca="1" si="67">IFERROR(Y89-F89,"")</f>
        <v>5.5555555555555358E-3</v>
      </c>
      <c r="X89" s="122">
        <f t="shared" ref="X89:X119" ca="1" si="68">IFERROR(IF(H89="Ушел",W89,$E89+G89),"")</f>
        <v>5.5555555555555558E-3</v>
      </c>
      <c r="Y89" s="122">
        <f t="shared" ref="Y89:Y119" ca="1" si="69">IFERROR(IF(H89="Ушел",I89,CHOOSE(N89,P89,R89,T89)),"")</f>
        <v>0.54861111111111049</v>
      </c>
      <c r="Z89" s="115">
        <f t="shared" ca="1" si="48"/>
        <v>0</v>
      </c>
    </row>
    <row r="90" spans="1:26" x14ac:dyDescent="0.35">
      <c r="A90" s="115">
        <f t="shared" ca="1" si="49"/>
        <v>71</v>
      </c>
      <c r="B90" s="115">
        <f t="shared" ca="1" si="46"/>
        <v>10</v>
      </c>
      <c r="C90" s="122">
        <f t="shared" ca="1" si="50"/>
        <v>6.9444444444444441E-3</v>
      </c>
      <c r="D90" s="115">
        <f t="shared" ca="1" si="47"/>
        <v>8</v>
      </c>
      <c r="E90" s="122">
        <f t="shared" ca="1" si="51"/>
        <v>5.5555555555555558E-3</v>
      </c>
      <c r="F90" s="122">
        <f t="shared" ca="1" si="52"/>
        <v>0.54999999999999938</v>
      </c>
      <c r="G90" s="122">
        <f t="shared" ca="1" si="53"/>
        <v>0</v>
      </c>
      <c r="H90" s="115" t="str">
        <f t="shared" ca="1" si="54"/>
        <v/>
      </c>
      <c r="I90" s="122" t="str">
        <f t="shared" ca="1" si="55"/>
        <v/>
      </c>
      <c r="J90" s="122">
        <f ca="1">IF(ISTEXT($F90),"",MAX($P$19:P89,$F90))</f>
        <v>0.54999999999999938</v>
      </c>
      <c r="K90" s="122">
        <f ca="1">IF(ISTEXT($F90),"",MAX($R$19:R89,$F90))</f>
        <v>0.54999999999999938</v>
      </c>
      <c r="L90" s="122">
        <f t="shared" ca="1" si="56"/>
        <v>0.54999999999999938</v>
      </c>
      <c r="M90" s="122">
        <f t="shared" ca="1" si="57"/>
        <v>0.54999999999999938</v>
      </c>
      <c r="N90" s="115">
        <f t="shared" ca="1" si="58"/>
        <v>1</v>
      </c>
      <c r="O90" s="122">
        <f t="shared" ca="1" si="59"/>
        <v>0.54999999999999938</v>
      </c>
      <c r="P90" s="122">
        <f t="shared" ca="1" si="60"/>
        <v>0.55555555555555491</v>
      </c>
      <c r="Q90" s="122" t="str">
        <f t="shared" ca="1" si="61"/>
        <v/>
      </c>
      <c r="R90" s="122">
        <f t="shared" ca="1" si="62"/>
        <v>0.54861111111111049</v>
      </c>
      <c r="S90" s="122" t="str">
        <f t="shared" ca="1" si="63"/>
        <v/>
      </c>
      <c r="T90" s="122">
        <f t="shared" ca="1" si="64"/>
        <v>0.53958333333333275</v>
      </c>
      <c r="U90" s="122">
        <f t="shared" ca="1" si="65"/>
        <v>0</v>
      </c>
      <c r="V90" s="122">
        <f t="shared" ca="1" si="66"/>
        <v>5.5555555555555558E-3</v>
      </c>
      <c r="W90" s="122">
        <f t="shared" ca="1" si="67"/>
        <v>5.5555555555555358E-3</v>
      </c>
      <c r="X90" s="122">
        <f t="shared" ca="1" si="68"/>
        <v>5.5555555555555558E-3</v>
      </c>
      <c r="Y90" s="122">
        <f t="shared" ca="1" si="69"/>
        <v>0.55555555555555491</v>
      </c>
      <c r="Z90" s="115">
        <f t="shared" ca="1" si="48"/>
        <v>0</v>
      </c>
    </row>
    <row r="91" spans="1:26" x14ac:dyDescent="0.35">
      <c r="A91" s="115">
        <f t="shared" ca="1" si="49"/>
        <v>72</v>
      </c>
      <c r="B91" s="115">
        <f t="shared" ca="1" si="46"/>
        <v>1</v>
      </c>
      <c r="C91" s="122">
        <f t="shared" ca="1" si="50"/>
        <v>6.9444444444444447E-4</v>
      </c>
      <c r="D91" s="115">
        <f t="shared" ca="1" si="47"/>
        <v>8</v>
      </c>
      <c r="E91" s="122">
        <f t="shared" ca="1" si="51"/>
        <v>5.5555555555555558E-3</v>
      </c>
      <c r="F91" s="122">
        <f t="shared" ca="1" si="52"/>
        <v>0.55069444444444382</v>
      </c>
      <c r="G91" s="122">
        <f t="shared" ca="1" si="53"/>
        <v>0</v>
      </c>
      <c r="H91" s="115" t="str">
        <f t="shared" ca="1" si="54"/>
        <v/>
      </c>
      <c r="I91" s="122" t="str">
        <f t="shared" ca="1" si="55"/>
        <v/>
      </c>
      <c r="J91" s="122">
        <f ca="1">IF(ISTEXT($F91),"",MAX($P$19:P90,$F91))</f>
        <v>0.55555555555555491</v>
      </c>
      <c r="K91" s="122">
        <f ca="1">IF(ISTEXT($F91),"",MAX($R$19:R90,$F91))</f>
        <v>0.55069444444444382</v>
      </c>
      <c r="L91" s="122">
        <f t="shared" ca="1" si="56"/>
        <v>0.55069444444444382</v>
      </c>
      <c r="M91" s="122">
        <f t="shared" ca="1" si="57"/>
        <v>0.55069444444444382</v>
      </c>
      <c r="N91" s="115">
        <f t="shared" ca="1" si="58"/>
        <v>2</v>
      </c>
      <c r="O91" s="122" t="str">
        <f t="shared" ca="1" si="59"/>
        <v/>
      </c>
      <c r="P91" s="122">
        <f t="shared" ca="1" si="60"/>
        <v>0.55555555555555491</v>
      </c>
      <c r="Q91" s="122">
        <f t="shared" ca="1" si="61"/>
        <v>0.55069444444444382</v>
      </c>
      <c r="R91" s="122">
        <f t="shared" ca="1" si="62"/>
        <v>0.55624999999999936</v>
      </c>
      <c r="S91" s="122" t="str">
        <f t="shared" ca="1" si="63"/>
        <v/>
      </c>
      <c r="T91" s="122">
        <f t="shared" ca="1" si="64"/>
        <v>0.53958333333333275</v>
      </c>
      <c r="U91" s="122">
        <f t="shared" ca="1" si="65"/>
        <v>0</v>
      </c>
      <c r="V91" s="122">
        <f t="shared" ca="1" si="66"/>
        <v>5.5555555555555558E-3</v>
      </c>
      <c r="W91" s="122">
        <f t="shared" ca="1" si="67"/>
        <v>5.5555555555555358E-3</v>
      </c>
      <c r="X91" s="122">
        <f t="shared" ca="1" si="68"/>
        <v>5.5555555555555558E-3</v>
      </c>
      <c r="Y91" s="122">
        <f t="shared" ca="1" si="69"/>
        <v>0.55624999999999936</v>
      </c>
      <c r="Z91" s="115">
        <f t="shared" ca="1" si="48"/>
        <v>0</v>
      </c>
    </row>
    <row r="92" spans="1:26" x14ac:dyDescent="0.35">
      <c r="A92" s="115">
        <f t="shared" ca="1" si="49"/>
        <v>73</v>
      </c>
      <c r="B92" s="115">
        <f t="shared" ca="1" si="46"/>
        <v>10</v>
      </c>
      <c r="C92" s="122">
        <f t="shared" ca="1" si="50"/>
        <v>6.9444444444444441E-3</v>
      </c>
      <c r="D92" s="115">
        <f t="shared" ca="1" si="47"/>
        <v>7</v>
      </c>
      <c r="E92" s="122">
        <f t="shared" ca="1" si="51"/>
        <v>4.8611111111111112E-3</v>
      </c>
      <c r="F92" s="122">
        <f t="shared" ca="1" si="52"/>
        <v>0.55763888888888824</v>
      </c>
      <c r="G92" s="122">
        <f t="shared" ca="1" si="53"/>
        <v>0</v>
      </c>
      <c r="H92" s="115" t="str">
        <f t="shared" ca="1" si="54"/>
        <v/>
      </c>
      <c r="I92" s="122" t="str">
        <f t="shared" ca="1" si="55"/>
        <v/>
      </c>
      <c r="J92" s="122">
        <f ca="1">IF(ISTEXT($F92),"",MAX($P$19:P91,$F92))</f>
        <v>0.55763888888888824</v>
      </c>
      <c r="K92" s="122">
        <f ca="1">IF(ISTEXT($F92),"",MAX($R$19:R91,$F92))</f>
        <v>0.55763888888888824</v>
      </c>
      <c r="L92" s="122">
        <f t="shared" ca="1" si="56"/>
        <v>0.55763888888888824</v>
      </c>
      <c r="M92" s="122">
        <f t="shared" ca="1" si="57"/>
        <v>0.55763888888888824</v>
      </c>
      <c r="N92" s="115">
        <f t="shared" ca="1" si="58"/>
        <v>1</v>
      </c>
      <c r="O92" s="122">
        <f t="shared" ca="1" si="59"/>
        <v>0.55763888888888824</v>
      </c>
      <c r="P92" s="122">
        <f t="shared" ca="1" si="60"/>
        <v>0.56249999999999933</v>
      </c>
      <c r="Q92" s="122" t="str">
        <f t="shared" ca="1" si="61"/>
        <v/>
      </c>
      <c r="R92" s="122">
        <f t="shared" ca="1" si="62"/>
        <v>0.55624999999999936</v>
      </c>
      <c r="S92" s="122" t="str">
        <f t="shared" ca="1" si="63"/>
        <v/>
      </c>
      <c r="T92" s="122">
        <f t="shared" ca="1" si="64"/>
        <v>0.53958333333333275</v>
      </c>
      <c r="U92" s="122">
        <f t="shared" ca="1" si="65"/>
        <v>0</v>
      </c>
      <c r="V92" s="122">
        <f t="shared" ca="1" si="66"/>
        <v>4.8611111111111112E-3</v>
      </c>
      <c r="W92" s="122">
        <f t="shared" ca="1" si="67"/>
        <v>4.8611111111110938E-3</v>
      </c>
      <c r="X92" s="122">
        <f t="shared" ca="1" si="68"/>
        <v>4.8611111111111112E-3</v>
      </c>
      <c r="Y92" s="122">
        <f t="shared" ca="1" si="69"/>
        <v>0.56249999999999933</v>
      </c>
      <c r="Z92" s="115">
        <f t="shared" ca="1" si="48"/>
        <v>0</v>
      </c>
    </row>
    <row r="93" spans="1:26" x14ac:dyDescent="0.35">
      <c r="A93" s="115">
        <f t="shared" ca="1" si="49"/>
        <v>74</v>
      </c>
      <c r="B93" s="115">
        <f t="shared" ca="1" si="46"/>
        <v>1</v>
      </c>
      <c r="C93" s="122">
        <f t="shared" ca="1" si="50"/>
        <v>6.9444444444444447E-4</v>
      </c>
      <c r="D93" s="115">
        <f t="shared" ca="1" si="47"/>
        <v>7</v>
      </c>
      <c r="E93" s="122">
        <f t="shared" ca="1" si="51"/>
        <v>4.8611111111111112E-3</v>
      </c>
      <c r="F93" s="122">
        <f t="shared" ca="1" si="52"/>
        <v>0.55833333333333268</v>
      </c>
      <c r="G93" s="122">
        <f t="shared" ca="1" si="53"/>
        <v>0</v>
      </c>
      <c r="H93" s="115" t="str">
        <f t="shared" ca="1" si="54"/>
        <v/>
      </c>
      <c r="I93" s="122" t="str">
        <f t="shared" ca="1" si="55"/>
        <v/>
      </c>
      <c r="J93" s="122">
        <f ca="1">IF(ISTEXT($F93),"",MAX($P$19:P92,$F93))</f>
        <v>0.56249999999999933</v>
      </c>
      <c r="K93" s="122">
        <f ca="1">IF(ISTEXT($F93),"",MAX($R$19:R92,$F93))</f>
        <v>0.55833333333333268</v>
      </c>
      <c r="L93" s="122">
        <f t="shared" ca="1" si="56"/>
        <v>0.55833333333333268</v>
      </c>
      <c r="M93" s="122">
        <f t="shared" ca="1" si="57"/>
        <v>0.55833333333333268</v>
      </c>
      <c r="N93" s="115">
        <f t="shared" ca="1" si="58"/>
        <v>2</v>
      </c>
      <c r="O93" s="122" t="str">
        <f t="shared" ca="1" si="59"/>
        <v/>
      </c>
      <c r="P93" s="122">
        <f t="shared" ca="1" si="60"/>
        <v>0.56249999999999933</v>
      </c>
      <c r="Q93" s="122">
        <f t="shared" ca="1" si="61"/>
        <v>0.55833333333333268</v>
      </c>
      <c r="R93" s="122">
        <f t="shared" ca="1" si="62"/>
        <v>0.56319444444444378</v>
      </c>
      <c r="S93" s="122" t="str">
        <f t="shared" ca="1" si="63"/>
        <v/>
      </c>
      <c r="T93" s="122">
        <f t="shared" ca="1" si="64"/>
        <v>0.53958333333333275</v>
      </c>
      <c r="U93" s="122">
        <f t="shared" ca="1" si="65"/>
        <v>0</v>
      </c>
      <c r="V93" s="122">
        <f t="shared" ca="1" si="66"/>
        <v>4.8611111111111112E-3</v>
      </c>
      <c r="W93" s="122">
        <f t="shared" ca="1" si="67"/>
        <v>4.8611111111110938E-3</v>
      </c>
      <c r="X93" s="122">
        <f t="shared" ca="1" si="68"/>
        <v>4.8611111111111112E-3</v>
      </c>
      <c r="Y93" s="122">
        <f t="shared" ca="1" si="69"/>
        <v>0.56319444444444378</v>
      </c>
      <c r="Z93" s="115">
        <f ca="1">COUNTIF($M$19:$M$19,"&gt;"&amp;$F93)</f>
        <v>0</v>
      </c>
    </row>
    <row r="94" spans="1:26" x14ac:dyDescent="0.35">
      <c r="A94" s="115">
        <f t="shared" ca="1" si="49"/>
        <v>75</v>
      </c>
      <c r="B94" s="115">
        <f t="shared" ca="1" si="46"/>
        <v>10</v>
      </c>
      <c r="C94" s="122">
        <f t="shared" ca="1" si="50"/>
        <v>6.9444444444444441E-3</v>
      </c>
      <c r="D94" s="115">
        <f t="shared" ca="1" si="47"/>
        <v>8</v>
      </c>
      <c r="E94" s="122">
        <f t="shared" ca="1" si="51"/>
        <v>5.5555555555555558E-3</v>
      </c>
      <c r="F94" s="122">
        <f t="shared" ca="1" si="52"/>
        <v>0.5652777777777771</v>
      </c>
      <c r="G94" s="122">
        <f t="shared" ca="1" si="53"/>
        <v>0</v>
      </c>
      <c r="H94" s="115" t="str">
        <f t="shared" ca="1" si="54"/>
        <v/>
      </c>
      <c r="I94" s="122" t="str">
        <f t="shared" ca="1" si="55"/>
        <v/>
      </c>
      <c r="J94" s="122">
        <f ca="1">IF(ISTEXT($F94),"",MAX($P$19:P93,$F94))</f>
        <v>0.5652777777777771</v>
      </c>
      <c r="K94" s="122">
        <f ca="1">IF(ISTEXT($F94),"",MAX($R$19:R93,$F94))</f>
        <v>0.5652777777777771</v>
      </c>
      <c r="L94" s="122">
        <f t="shared" ca="1" si="56"/>
        <v>0.5652777777777771</v>
      </c>
      <c r="M94" s="122">
        <f t="shared" ca="1" si="57"/>
        <v>0.5652777777777771</v>
      </c>
      <c r="N94" s="115">
        <f t="shared" ca="1" si="58"/>
        <v>1</v>
      </c>
      <c r="O94" s="122">
        <f t="shared" ca="1" si="59"/>
        <v>0.5652777777777771</v>
      </c>
      <c r="P94" s="122">
        <f t="shared" ca="1" si="60"/>
        <v>0.57083333333333264</v>
      </c>
      <c r="Q94" s="122" t="str">
        <f t="shared" ca="1" si="61"/>
        <v/>
      </c>
      <c r="R94" s="122">
        <f t="shared" ca="1" si="62"/>
        <v>0.56319444444444378</v>
      </c>
      <c r="S94" s="122" t="str">
        <f t="shared" ca="1" si="63"/>
        <v/>
      </c>
      <c r="T94" s="122">
        <f t="shared" ca="1" si="64"/>
        <v>0.53958333333333275</v>
      </c>
      <c r="U94" s="122">
        <f t="shared" ca="1" si="65"/>
        <v>0</v>
      </c>
      <c r="V94" s="122">
        <f t="shared" ca="1" si="66"/>
        <v>5.5555555555555558E-3</v>
      </c>
      <c r="W94" s="122">
        <f t="shared" ca="1" si="67"/>
        <v>5.5555555555555358E-3</v>
      </c>
      <c r="X94" s="122">
        <f t="shared" ca="1" si="68"/>
        <v>5.5555555555555558E-3</v>
      </c>
      <c r="Y94" s="122">
        <f t="shared" ca="1" si="69"/>
        <v>0.57083333333333264</v>
      </c>
      <c r="Z94" s="115">
        <f t="shared" ref="Z94:Z118" ca="1" si="70">COUNTIF($M$19:$M$19,"&gt;"&amp;$F94)</f>
        <v>0</v>
      </c>
    </row>
    <row r="95" spans="1:26" x14ac:dyDescent="0.35">
      <c r="A95" s="115">
        <f t="shared" ca="1" si="49"/>
        <v>76</v>
      </c>
      <c r="B95" s="115">
        <f t="shared" ca="1" si="46"/>
        <v>1</v>
      </c>
      <c r="C95" s="122">
        <f t="shared" ca="1" si="50"/>
        <v>6.9444444444444447E-4</v>
      </c>
      <c r="D95" s="115">
        <f t="shared" ca="1" si="47"/>
        <v>3</v>
      </c>
      <c r="E95" s="122">
        <f t="shared" ca="1" si="51"/>
        <v>2.0833333333333333E-3</v>
      </c>
      <c r="F95" s="122">
        <f t="shared" ca="1" si="52"/>
        <v>0.56597222222222154</v>
      </c>
      <c r="G95" s="122">
        <f t="shared" ca="1" si="53"/>
        <v>0</v>
      </c>
      <c r="H95" s="115" t="str">
        <f t="shared" ca="1" si="54"/>
        <v/>
      </c>
      <c r="I95" s="122" t="str">
        <f t="shared" ca="1" si="55"/>
        <v/>
      </c>
      <c r="J95" s="122">
        <f ca="1">IF(ISTEXT($F95),"",MAX($P$19:P94,$F95))</f>
        <v>0.57083333333333264</v>
      </c>
      <c r="K95" s="122">
        <f ca="1">IF(ISTEXT($F95),"",MAX($R$19:R94,$F95))</f>
        <v>0.56597222222222154</v>
      </c>
      <c r="L95" s="122">
        <f t="shared" ca="1" si="56"/>
        <v>0.56597222222222154</v>
      </c>
      <c r="M95" s="122">
        <f t="shared" ca="1" si="57"/>
        <v>0.56597222222222154</v>
      </c>
      <c r="N95" s="115">
        <f t="shared" ca="1" si="58"/>
        <v>2</v>
      </c>
      <c r="O95" s="122" t="str">
        <f t="shared" ca="1" si="59"/>
        <v/>
      </c>
      <c r="P95" s="122">
        <f t="shared" ca="1" si="60"/>
        <v>0.57083333333333264</v>
      </c>
      <c r="Q95" s="122">
        <f t="shared" ca="1" si="61"/>
        <v>0.56597222222222154</v>
      </c>
      <c r="R95" s="122">
        <f t="shared" ca="1" si="62"/>
        <v>0.56805555555555487</v>
      </c>
      <c r="S95" s="122" t="str">
        <f t="shared" ca="1" si="63"/>
        <v/>
      </c>
      <c r="T95" s="122">
        <f t="shared" ca="1" si="64"/>
        <v>0.53958333333333275</v>
      </c>
      <c r="U95" s="122">
        <f t="shared" ca="1" si="65"/>
        <v>0</v>
      </c>
      <c r="V95" s="122">
        <f t="shared" ca="1" si="66"/>
        <v>2.0833333333333333E-3</v>
      </c>
      <c r="W95" s="122">
        <f t="shared" ca="1" si="67"/>
        <v>2.0833333333333259E-3</v>
      </c>
      <c r="X95" s="122">
        <f t="shared" ca="1" si="68"/>
        <v>2.0833333333333333E-3</v>
      </c>
      <c r="Y95" s="122">
        <f t="shared" ca="1" si="69"/>
        <v>0.56805555555555487</v>
      </c>
      <c r="Z95" s="115">
        <f t="shared" ca="1" si="70"/>
        <v>0</v>
      </c>
    </row>
    <row r="96" spans="1:26" x14ac:dyDescent="0.35">
      <c r="A96" s="115">
        <f t="shared" ca="1" si="49"/>
        <v>77</v>
      </c>
      <c r="B96" s="115">
        <f t="shared" ca="1" si="46"/>
        <v>1</v>
      </c>
      <c r="C96" s="122">
        <f t="shared" ca="1" si="50"/>
        <v>6.9444444444444447E-4</v>
      </c>
      <c r="D96" s="115">
        <f t="shared" ca="1" si="47"/>
        <v>3</v>
      </c>
      <c r="E96" s="122">
        <f t="shared" ca="1" si="51"/>
        <v>2.0833333333333333E-3</v>
      </c>
      <c r="F96" s="122">
        <f t="shared" ca="1" si="52"/>
        <v>0.56666666666666599</v>
      </c>
      <c r="G96" s="122">
        <f t="shared" ca="1" si="53"/>
        <v>0</v>
      </c>
      <c r="H96" s="115" t="str">
        <f t="shared" ca="1" si="54"/>
        <v/>
      </c>
      <c r="I96" s="122" t="str">
        <f t="shared" ca="1" si="55"/>
        <v/>
      </c>
      <c r="J96" s="122">
        <f ca="1">IF(ISTEXT($F96),"",MAX($P$19:P95,$F96))</f>
        <v>0.57083333333333264</v>
      </c>
      <c r="K96" s="122">
        <f ca="1">IF(ISTEXT($F96),"",MAX($R$19:R95,$F96))</f>
        <v>0.56805555555555487</v>
      </c>
      <c r="L96" s="122">
        <f t="shared" ca="1" si="56"/>
        <v>0.56666666666666599</v>
      </c>
      <c r="M96" s="122">
        <f t="shared" ca="1" si="57"/>
        <v>0.56666666666666599</v>
      </c>
      <c r="N96" s="115">
        <f t="shared" ca="1" si="58"/>
        <v>3</v>
      </c>
      <c r="O96" s="122" t="str">
        <f t="shared" ca="1" si="59"/>
        <v/>
      </c>
      <c r="P96" s="122">
        <f t="shared" ca="1" si="60"/>
        <v>0.57083333333333264</v>
      </c>
      <c r="Q96" s="122" t="str">
        <f t="shared" ca="1" si="61"/>
        <v/>
      </c>
      <c r="R96" s="122">
        <f t="shared" ca="1" si="62"/>
        <v>0.56805555555555487</v>
      </c>
      <c r="S96" s="122">
        <f t="shared" ca="1" si="63"/>
        <v>0.56666666666666599</v>
      </c>
      <c r="T96" s="122">
        <f t="shared" ca="1" si="64"/>
        <v>0.56874999999999931</v>
      </c>
      <c r="U96" s="122">
        <f t="shared" ca="1" si="65"/>
        <v>0</v>
      </c>
      <c r="V96" s="122">
        <f t="shared" ca="1" si="66"/>
        <v>2.0833333333333333E-3</v>
      </c>
      <c r="W96" s="122">
        <f t="shared" ca="1" si="67"/>
        <v>2.0833333333333259E-3</v>
      </c>
      <c r="X96" s="122">
        <f t="shared" ca="1" si="68"/>
        <v>2.0833333333333333E-3</v>
      </c>
      <c r="Y96" s="122">
        <f t="shared" ca="1" si="69"/>
        <v>0.56874999999999931</v>
      </c>
      <c r="Z96" s="115">
        <f t="shared" ca="1" si="70"/>
        <v>0</v>
      </c>
    </row>
    <row r="97" spans="1:26" x14ac:dyDescent="0.35">
      <c r="A97" s="115">
        <f t="shared" ca="1" si="49"/>
        <v>78</v>
      </c>
      <c r="B97" s="115">
        <f t="shared" ca="1" si="46"/>
        <v>1</v>
      </c>
      <c r="C97" s="122">
        <f t="shared" ca="1" si="50"/>
        <v>6.9444444444444447E-4</v>
      </c>
      <c r="D97" s="115">
        <f t="shared" ca="1" si="47"/>
        <v>7</v>
      </c>
      <c r="E97" s="122">
        <f t="shared" ca="1" si="51"/>
        <v>4.8611111111111112E-3</v>
      </c>
      <c r="F97" s="122">
        <f t="shared" ca="1" si="52"/>
        <v>0.56736111111111043</v>
      </c>
      <c r="G97" s="122">
        <f t="shared" ca="1" si="53"/>
        <v>6.9444444444444198E-4</v>
      </c>
      <c r="H97" s="115" t="str">
        <f t="shared" ca="1" si="54"/>
        <v/>
      </c>
      <c r="I97" s="122" t="str">
        <f t="shared" ca="1" si="55"/>
        <v/>
      </c>
      <c r="J97" s="122">
        <f ca="1">IF(ISTEXT($F97),"",MAX($P$19:P96,$F97))</f>
        <v>0.57083333333333264</v>
      </c>
      <c r="K97" s="122">
        <f ca="1">IF(ISTEXT($F97),"",MAX($R$19:R96,$F97))</f>
        <v>0.56805555555555487</v>
      </c>
      <c r="L97" s="122">
        <f t="shared" ca="1" si="56"/>
        <v>0.56874999999999931</v>
      </c>
      <c r="M97" s="122">
        <f t="shared" ca="1" si="57"/>
        <v>0.56805555555555487</v>
      </c>
      <c r="N97" s="115">
        <f t="shared" ca="1" si="58"/>
        <v>2</v>
      </c>
      <c r="O97" s="122" t="str">
        <f t="shared" ca="1" si="59"/>
        <v/>
      </c>
      <c r="P97" s="122">
        <f t="shared" ca="1" si="60"/>
        <v>0.57083333333333264</v>
      </c>
      <c r="Q97" s="122">
        <f t="shared" ca="1" si="61"/>
        <v>0.56805555555555487</v>
      </c>
      <c r="R97" s="122">
        <f t="shared" ca="1" si="62"/>
        <v>0.57291666666666596</v>
      </c>
      <c r="S97" s="122" t="str">
        <f t="shared" ca="1" si="63"/>
        <v/>
      </c>
      <c r="T97" s="122">
        <f t="shared" ca="1" si="64"/>
        <v>0.56874999999999931</v>
      </c>
      <c r="U97" s="122">
        <f t="shared" ca="1" si="65"/>
        <v>6.9444444444444198E-4</v>
      </c>
      <c r="V97" s="122">
        <f t="shared" ca="1" si="66"/>
        <v>4.8611111111111112E-3</v>
      </c>
      <c r="W97" s="122">
        <f t="shared" ca="1" si="67"/>
        <v>5.5555555555555358E-3</v>
      </c>
      <c r="X97" s="122">
        <f t="shared" ca="1" si="68"/>
        <v>5.5555555555555532E-3</v>
      </c>
      <c r="Y97" s="122">
        <f t="shared" ca="1" si="69"/>
        <v>0.57291666666666596</v>
      </c>
      <c r="Z97" s="115">
        <f t="shared" ca="1" si="70"/>
        <v>0</v>
      </c>
    </row>
    <row r="98" spans="1:26" x14ac:dyDescent="0.35">
      <c r="A98" s="115">
        <f t="shared" ca="1" si="49"/>
        <v>79</v>
      </c>
      <c r="B98" s="115">
        <f t="shared" ca="1" si="46"/>
        <v>3</v>
      </c>
      <c r="C98" s="122">
        <f t="shared" ca="1" si="50"/>
        <v>2.0833333333333333E-3</v>
      </c>
      <c r="D98" s="115">
        <f t="shared" ca="1" si="47"/>
        <v>3</v>
      </c>
      <c r="E98" s="122">
        <f t="shared" ca="1" si="51"/>
        <v>2.0833333333333333E-3</v>
      </c>
      <c r="F98" s="122">
        <f t="shared" ca="1" si="52"/>
        <v>0.56944444444444375</v>
      </c>
      <c r="G98" s="122">
        <f t="shared" ca="1" si="53"/>
        <v>0</v>
      </c>
      <c r="H98" s="115" t="str">
        <f t="shared" ca="1" si="54"/>
        <v/>
      </c>
      <c r="I98" s="122" t="str">
        <f t="shared" ca="1" si="55"/>
        <v/>
      </c>
      <c r="J98" s="122">
        <f ca="1">IF(ISTEXT($F98),"",MAX($P$19:P97,$F98))</f>
        <v>0.57083333333333264</v>
      </c>
      <c r="K98" s="122">
        <f ca="1">IF(ISTEXT($F98),"",MAX($R$19:R97,$F98))</f>
        <v>0.57291666666666596</v>
      </c>
      <c r="L98" s="122">
        <f t="shared" ca="1" si="56"/>
        <v>0.56944444444444375</v>
      </c>
      <c r="M98" s="122">
        <f t="shared" ca="1" si="57"/>
        <v>0.56944444444444375</v>
      </c>
      <c r="N98" s="115">
        <f t="shared" ca="1" si="58"/>
        <v>3</v>
      </c>
      <c r="O98" s="122" t="str">
        <f t="shared" ca="1" si="59"/>
        <v/>
      </c>
      <c r="P98" s="122">
        <f t="shared" ca="1" si="60"/>
        <v>0.57083333333333264</v>
      </c>
      <c r="Q98" s="122" t="str">
        <f t="shared" ca="1" si="61"/>
        <v/>
      </c>
      <c r="R98" s="122">
        <f t="shared" ca="1" si="62"/>
        <v>0.57291666666666596</v>
      </c>
      <c r="S98" s="122">
        <f t="shared" ca="1" si="63"/>
        <v>0.56944444444444375</v>
      </c>
      <c r="T98" s="122">
        <f t="shared" ca="1" si="64"/>
        <v>0.57152777777777708</v>
      </c>
      <c r="U98" s="122">
        <f t="shared" ca="1" si="65"/>
        <v>0</v>
      </c>
      <c r="V98" s="122">
        <f t="shared" ca="1" si="66"/>
        <v>2.0833333333333333E-3</v>
      </c>
      <c r="W98" s="122">
        <f t="shared" ca="1" si="67"/>
        <v>2.0833333333333259E-3</v>
      </c>
      <c r="X98" s="122">
        <f t="shared" ca="1" si="68"/>
        <v>2.0833333333333333E-3</v>
      </c>
      <c r="Y98" s="122">
        <f t="shared" ca="1" si="69"/>
        <v>0.57152777777777708</v>
      </c>
      <c r="Z98" s="115">
        <f t="shared" ca="1" si="70"/>
        <v>0</v>
      </c>
    </row>
    <row r="99" spans="1:26" x14ac:dyDescent="0.35">
      <c r="A99" s="115">
        <f t="shared" ca="1" si="49"/>
        <v>80</v>
      </c>
      <c r="B99" s="115">
        <f t="shared" ca="1" si="46"/>
        <v>1</v>
      </c>
      <c r="C99" s="122">
        <f t="shared" ca="1" si="50"/>
        <v>6.9444444444444447E-4</v>
      </c>
      <c r="D99" s="115">
        <f t="shared" ca="1" si="47"/>
        <v>3</v>
      </c>
      <c r="E99" s="122">
        <f t="shared" ca="1" si="51"/>
        <v>2.0833333333333333E-3</v>
      </c>
      <c r="F99" s="122">
        <f t="shared" ca="1" si="52"/>
        <v>0.5701388888888882</v>
      </c>
      <c r="G99" s="122">
        <f t="shared" ca="1" si="53"/>
        <v>6.9444444444444198E-4</v>
      </c>
      <c r="H99" s="115" t="str">
        <f t="shared" ca="1" si="54"/>
        <v/>
      </c>
      <c r="I99" s="122" t="str">
        <f t="shared" ca="1" si="55"/>
        <v/>
      </c>
      <c r="J99" s="122">
        <f ca="1">IF(ISTEXT($F99),"",MAX($P$19:P98,$F99))</f>
        <v>0.57083333333333264</v>
      </c>
      <c r="K99" s="122">
        <f ca="1">IF(ISTEXT($F99),"",MAX($R$19:R98,$F99))</f>
        <v>0.57291666666666596</v>
      </c>
      <c r="L99" s="122">
        <f t="shared" ca="1" si="56"/>
        <v>0.57152777777777708</v>
      </c>
      <c r="M99" s="122">
        <f t="shared" ca="1" si="57"/>
        <v>0.57083333333333264</v>
      </c>
      <c r="N99" s="115">
        <f t="shared" ca="1" si="58"/>
        <v>1</v>
      </c>
      <c r="O99" s="122">
        <f t="shared" ca="1" si="59"/>
        <v>0.57083333333333264</v>
      </c>
      <c r="P99" s="122">
        <f t="shared" ca="1" si="60"/>
        <v>0.57291666666666596</v>
      </c>
      <c r="Q99" s="122" t="str">
        <f t="shared" ca="1" si="61"/>
        <v/>
      </c>
      <c r="R99" s="122">
        <f t="shared" ca="1" si="62"/>
        <v>0.57291666666666596</v>
      </c>
      <c r="S99" s="122" t="str">
        <f t="shared" ca="1" si="63"/>
        <v/>
      </c>
      <c r="T99" s="122">
        <f t="shared" ca="1" si="64"/>
        <v>0.57152777777777708</v>
      </c>
      <c r="U99" s="122">
        <f t="shared" ca="1" si="65"/>
        <v>6.9444444444444198E-4</v>
      </c>
      <c r="V99" s="122">
        <f t="shared" ca="1" si="66"/>
        <v>2.0833333333333333E-3</v>
      </c>
      <c r="W99" s="122">
        <f t="shared" ca="1" si="67"/>
        <v>2.7777777777777679E-3</v>
      </c>
      <c r="X99" s="122">
        <f t="shared" ca="1" si="68"/>
        <v>2.7777777777777753E-3</v>
      </c>
      <c r="Y99" s="122">
        <f t="shared" ca="1" si="69"/>
        <v>0.57291666666666596</v>
      </c>
      <c r="Z99" s="115">
        <f t="shared" ca="1" si="70"/>
        <v>0</v>
      </c>
    </row>
    <row r="100" spans="1:26" x14ac:dyDescent="0.35">
      <c r="A100" s="115">
        <f t="shared" ca="1" si="49"/>
        <v>81</v>
      </c>
      <c r="B100" s="115">
        <f t="shared" ca="1" si="46"/>
        <v>3</v>
      </c>
      <c r="C100" s="122">
        <f t="shared" ca="1" si="50"/>
        <v>2.0833333333333333E-3</v>
      </c>
      <c r="D100" s="115">
        <f t="shared" ca="1" si="47"/>
        <v>8</v>
      </c>
      <c r="E100" s="122">
        <f t="shared" ca="1" si="51"/>
        <v>5.5555555555555558E-3</v>
      </c>
      <c r="F100" s="122">
        <f t="shared" ca="1" si="52"/>
        <v>0.57222222222222152</v>
      </c>
      <c r="G100" s="122">
        <f t="shared" ca="1" si="53"/>
        <v>0</v>
      </c>
      <c r="H100" s="115" t="str">
        <f t="shared" ca="1" si="54"/>
        <v/>
      </c>
      <c r="I100" s="122" t="str">
        <f t="shared" ca="1" si="55"/>
        <v/>
      </c>
      <c r="J100" s="122">
        <f ca="1">IF(ISTEXT($F100),"",MAX($P$19:P99,$F100))</f>
        <v>0.57291666666666596</v>
      </c>
      <c r="K100" s="122">
        <f ca="1">IF(ISTEXT($F100),"",MAX($R$19:R99,$F100))</f>
        <v>0.57291666666666596</v>
      </c>
      <c r="L100" s="122">
        <f t="shared" ca="1" si="56"/>
        <v>0.57222222222222152</v>
      </c>
      <c r="M100" s="122">
        <f t="shared" ca="1" si="57"/>
        <v>0.57222222222222152</v>
      </c>
      <c r="N100" s="115">
        <f t="shared" ca="1" si="58"/>
        <v>3</v>
      </c>
      <c r="O100" s="122" t="str">
        <f t="shared" ca="1" si="59"/>
        <v/>
      </c>
      <c r="P100" s="122">
        <f t="shared" ca="1" si="60"/>
        <v>0.57291666666666596</v>
      </c>
      <c r="Q100" s="122" t="str">
        <f t="shared" ca="1" si="61"/>
        <v/>
      </c>
      <c r="R100" s="122">
        <f t="shared" ca="1" si="62"/>
        <v>0.57291666666666596</v>
      </c>
      <c r="S100" s="122">
        <f t="shared" ca="1" si="63"/>
        <v>0.57222222222222152</v>
      </c>
      <c r="T100" s="122">
        <f t="shared" ca="1" si="64"/>
        <v>0.57777777777777706</v>
      </c>
      <c r="U100" s="122">
        <f t="shared" ca="1" si="65"/>
        <v>0</v>
      </c>
      <c r="V100" s="122">
        <f t="shared" ca="1" si="66"/>
        <v>5.5555555555555558E-3</v>
      </c>
      <c r="W100" s="122">
        <f t="shared" ca="1" si="67"/>
        <v>5.5555555555555358E-3</v>
      </c>
      <c r="X100" s="122">
        <f t="shared" ca="1" si="68"/>
        <v>5.5555555555555558E-3</v>
      </c>
      <c r="Y100" s="122">
        <f t="shared" ca="1" si="69"/>
        <v>0.57777777777777706</v>
      </c>
      <c r="Z100" s="115">
        <f t="shared" ca="1" si="70"/>
        <v>0</v>
      </c>
    </row>
    <row r="101" spans="1:26" x14ac:dyDescent="0.35">
      <c r="A101" s="115">
        <f t="shared" ca="1" si="49"/>
        <v>82</v>
      </c>
      <c r="B101" s="115">
        <f t="shared" ca="1" si="46"/>
        <v>1</v>
      </c>
      <c r="C101" s="122">
        <f t="shared" ca="1" si="50"/>
        <v>6.9444444444444447E-4</v>
      </c>
      <c r="D101" s="115">
        <f t="shared" ca="1" si="47"/>
        <v>3</v>
      </c>
      <c r="E101" s="122">
        <f t="shared" ca="1" si="51"/>
        <v>2.0833333333333333E-3</v>
      </c>
      <c r="F101" s="122">
        <f t="shared" ca="1" si="52"/>
        <v>0.57291666666666596</v>
      </c>
      <c r="G101" s="122">
        <f t="shared" ca="1" si="53"/>
        <v>0</v>
      </c>
      <c r="H101" s="115" t="str">
        <f t="shared" ca="1" si="54"/>
        <v/>
      </c>
      <c r="I101" s="122" t="str">
        <f t="shared" ca="1" si="55"/>
        <v/>
      </c>
      <c r="J101" s="122">
        <f ca="1">IF(ISTEXT($F101),"",MAX($P$19:P100,$F101))</f>
        <v>0.57291666666666596</v>
      </c>
      <c r="K101" s="122">
        <f ca="1">IF(ISTEXT($F101),"",MAX($R$19:R100,$F101))</f>
        <v>0.57291666666666596</v>
      </c>
      <c r="L101" s="122">
        <f t="shared" ca="1" si="56"/>
        <v>0.57777777777777706</v>
      </c>
      <c r="M101" s="122">
        <f t="shared" ca="1" si="57"/>
        <v>0.57291666666666596</v>
      </c>
      <c r="N101" s="115">
        <f t="shared" ca="1" si="58"/>
        <v>1</v>
      </c>
      <c r="O101" s="122">
        <f t="shared" ca="1" si="59"/>
        <v>0.57291666666666596</v>
      </c>
      <c r="P101" s="122">
        <f t="shared" ca="1" si="60"/>
        <v>0.57499999999999929</v>
      </c>
      <c r="Q101" s="122" t="str">
        <f t="shared" ca="1" si="61"/>
        <v/>
      </c>
      <c r="R101" s="122">
        <f t="shared" ca="1" si="62"/>
        <v>0.57291666666666596</v>
      </c>
      <c r="S101" s="122" t="str">
        <f t="shared" ca="1" si="63"/>
        <v/>
      </c>
      <c r="T101" s="122">
        <f t="shared" ca="1" si="64"/>
        <v>0.57777777777777706</v>
      </c>
      <c r="U101" s="122">
        <f t="shared" ca="1" si="65"/>
        <v>0</v>
      </c>
      <c r="V101" s="122">
        <f t="shared" ca="1" si="66"/>
        <v>2.0833333333333333E-3</v>
      </c>
      <c r="W101" s="122">
        <f t="shared" ca="1" si="67"/>
        <v>2.0833333333333259E-3</v>
      </c>
      <c r="X101" s="122">
        <f t="shared" ca="1" si="68"/>
        <v>2.0833333333333333E-3</v>
      </c>
      <c r="Y101" s="122">
        <f t="shared" ca="1" si="69"/>
        <v>0.57499999999999929</v>
      </c>
      <c r="Z101" s="115">
        <f t="shared" ca="1" si="70"/>
        <v>0</v>
      </c>
    </row>
    <row r="102" spans="1:26" x14ac:dyDescent="0.35">
      <c r="A102" s="115">
        <f t="shared" ca="1" si="49"/>
        <v>83</v>
      </c>
      <c r="B102" s="115">
        <f t="shared" ca="1" si="46"/>
        <v>1</v>
      </c>
      <c r="C102" s="122">
        <f t="shared" ca="1" si="50"/>
        <v>6.9444444444444447E-4</v>
      </c>
      <c r="D102" s="115">
        <f t="shared" ca="1" si="47"/>
        <v>8</v>
      </c>
      <c r="E102" s="122">
        <f t="shared" ca="1" si="51"/>
        <v>5.5555555555555558E-3</v>
      </c>
      <c r="F102" s="122">
        <f t="shared" ca="1" si="52"/>
        <v>0.57361111111111041</v>
      </c>
      <c r="G102" s="122">
        <f t="shared" ca="1" si="53"/>
        <v>0</v>
      </c>
      <c r="H102" s="115" t="str">
        <f t="shared" ca="1" si="54"/>
        <v/>
      </c>
      <c r="I102" s="122" t="str">
        <f t="shared" ca="1" si="55"/>
        <v/>
      </c>
      <c r="J102" s="122">
        <f ca="1">IF(ISTEXT($F102),"",MAX($P$19:P101,$F102))</f>
        <v>0.57499999999999929</v>
      </c>
      <c r="K102" s="122">
        <f ca="1">IF(ISTEXT($F102),"",MAX($R$19:R101,$F102))</f>
        <v>0.57361111111111041</v>
      </c>
      <c r="L102" s="122">
        <f t="shared" ca="1" si="56"/>
        <v>0.57777777777777706</v>
      </c>
      <c r="M102" s="122">
        <f t="shared" ca="1" si="57"/>
        <v>0.57361111111111041</v>
      </c>
      <c r="N102" s="115">
        <f t="shared" ca="1" si="58"/>
        <v>2</v>
      </c>
      <c r="O102" s="122" t="str">
        <f t="shared" ca="1" si="59"/>
        <v/>
      </c>
      <c r="P102" s="122">
        <f t="shared" ca="1" si="60"/>
        <v>0.57499999999999929</v>
      </c>
      <c r="Q102" s="122">
        <f t="shared" ca="1" si="61"/>
        <v>0.57361111111111041</v>
      </c>
      <c r="R102" s="122">
        <f t="shared" ca="1" si="62"/>
        <v>0.57916666666666594</v>
      </c>
      <c r="S102" s="122" t="str">
        <f t="shared" ca="1" si="63"/>
        <v/>
      </c>
      <c r="T102" s="122">
        <f t="shared" ca="1" si="64"/>
        <v>0.57777777777777706</v>
      </c>
      <c r="U102" s="122">
        <f t="shared" ca="1" si="65"/>
        <v>0</v>
      </c>
      <c r="V102" s="122">
        <f t="shared" ca="1" si="66"/>
        <v>5.5555555555555558E-3</v>
      </c>
      <c r="W102" s="122">
        <f t="shared" ca="1" si="67"/>
        <v>5.5555555555555358E-3</v>
      </c>
      <c r="X102" s="122">
        <f t="shared" ca="1" si="68"/>
        <v>5.5555555555555558E-3</v>
      </c>
      <c r="Y102" s="122">
        <f t="shared" ca="1" si="69"/>
        <v>0.57916666666666594</v>
      </c>
      <c r="Z102" s="115">
        <f t="shared" ca="1" si="70"/>
        <v>0</v>
      </c>
    </row>
    <row r="103" spans="1:26" x14ac:dyDescent="0.35">
      <c r="A103" s="115">
        <f t="shared" ca="1" si="49"/>
        <v>84</v>
      </c>
      <c r="B103" s="115">
        <f t="shared" ca="1" si="46"/>
        <v>1</v>
      </c>
      <c r="C103" s="122">
        <f t="shared" ca="1" si="50"/>
        <v>6.9444444444444447E-4</v>
      </c>
      <c r="D103" s="115">
        <f t="shared" ca="1" si="47"/>
        <v>7</v>
      </c>
      <c r="E103" s="122">
        <f t="shared" ca="1" si="51"/>
        <v>4.8611111111111112E-3</v>
      </c>
      <c r="F103" s="122">
        <f t="shared" ca="1" si="52"/>
        <v>0.57430555555555485</v>
      </c>
      <c r="G103" s="122">
        <f t="shared" ca="1" si="53"/>
        <v>6.9444444444444198E-4</v>
      </c>
      <c r="H103" s="115" t="str">
        <f t="shared" ca="1" si="54"/>
        <v/>
      </c>
      <c r="I103" s="122" t="str">
        <f t="shared" ca="1" si="55"/>
        <v/>
      </c>
      <c r="J103" s="122">
        <f ca="1">IF(ISTEXT($F103),"",MAX($P$19:P102,$F103))</f>
        <v>0.57499999999999929</v>
      </c>
      <c r="K103" s="122">
        <f ca="1">IF(ISTEXT($F103),"",MAX($R$19:R102,$F103))</f>
        <v>0.57916666666666594</v>
      </c>
      <c r="L103" s="122">
        <f t="shared" ca="1" si="56"/>
        <v>0.57777777777777706</v>
      </c>
      <c r="M103" s="122">
        <f t="shared" ca="1" si="57"/>
        <v>0.57499999999999929</v>
      </c>
      <c r="N103" s="115">
        <f t="shared" ca="1" si="58"/>
        <v>1</v>
      </c>
      <c r="O103" s="122">
        <f t="shared" ca="1" si="59"/>
        <v>0.57499999999999929</v>
      </c>
      <c r="P103" s="122">
        <f t="shared" ca="1" si="60"/>
        <v>0.57986111111111038</v>
      </c>
      <c r="Q103" s="122" t="str">
        <f t="shared" ca="1" si="61"/>
        <v/>
      </c>
      <c r="R103" s="122">
        <f t="shared" ca="1" si="62"/>
        <v>0.57916666666666594</v>
      </c>
      <c r="S103" s="122" t="str">
        <f t="shared" ca="1" si="63"/>
        <v/>
      </c>
      <c r="T103" s="122">
        <f t="shared" ca="1" si="64"/>
        <v>0.57777777777777706</v>
      </c>
      <c r="U103" s="122">
        <f t="shared" ca="1" si="65"/>
        <v>6.9444444444444198E-4</v>
      </c>
      <c r="V103" s="122">
        <f t="shared" ca="1" si="66"/>
        <v>4.8611111111111112E-3</v>
      </c>
      <c r="W103" s="122">
        <f t="shared" ca="1" si="67"/>
        <v>5.5555555555555358E-3</v>
      </c>
      <c r="X103" s="122">
        <f t="shared" ca="1" si="68"/>
        <v>5.5555555555555532E-3</v>
      </c>
      <c r="Y103" s="122">
        <f t="shared" ca="1" si="69"/>
        <v>0.57986111111111038</v>
      </c>
      <c r="Z103" s="115">
        <f t="shared" ca="1" si="70"/>
        <v>0</v>
      </c>
    </row>
    <row r="104" spans="1:26" x14ac:dyDescent="0.35">
      <c r="A104" s="115">
        <f t="shared" ca="1" si="49"/>
        <v>85</v>
      </c>
      <c r="B104" s="115">
        <f t="shared" ca="1" si="46"/>
        <v>3</v>
      </c>
      <c r="C104" s="122">
        <f t="shared" ca="1" si="50"/>
        <v>2.0833333333333333E-3</v>
      </c>
      <c r="D104" s="115">
        <f t="shared" ca="1" si="47"/>
        <v>8</v>
      </c>
      <c r="E104" s="122">
        <f t="shared" ca="1" si="51"/>
        <v>5.5555555555555558E-3</v>
      </c>
      <c r="F104" s="122">
        <f t="shared" ca="1" si="52"/>
        <v>0.57638888888888817</v>
      </c>
      <c r="G104" s="122">
        <f t="shared" ca="1" si="53"/>
        <v>1.388888888888884E-3</v>
      </c>
      <c r="H104" s="115" t="str">
        <f t="shared" ca="1" si="54"/>
        <v/>
      </c>
      <c r="I104" s="122" t="str">
        <f t="shared" ca="1" si="55"/>
        <v/>
      </c>
      <c r="J104" s="122">
        <f ca="1">IF(ISTEXT($F104),"",MAX($P$19:P103,$F104))</f>
        <v>0.57986111111111038</v>
      </c>
      <c r="K104" s="122">
        <f ca="1">IF(ISTEXT($F104),"",MAX($R$19:R103,$F104))</f>
        <v>0.57916666666666594</v>
      </c>
      <c r="L104" s="122">
        <f t="shared" ca="1" si="56"/>
        <v>0.57777777777777706</v>
      </c>
      <c r="M104" s="122">
        <f t="shared" ca="1" si="57"/>
        <v>0.57777777777777706</v>
      </c>
      <c r="N104" s="115">
        <f t="shared" ca="1" si="58"/>
        <v>3</v>
      </c>
      <c r="O104" s="122" t="str">
        <f t="shared" ca="1" si="59"/>
        <v/>
      </c>
      <c r="P104" s="122">
        <f t="shared" ca="1" si="60"/>
        <v>0.57986111111111038</v>
      </c>
      <c r="Q104" s="122" t="str">
        <f t="shared" ca="1" si="61"/>
        <v/>
      </c>
      <c r="R104" s="122">
        <f t="shared" ca="1" si="62"/>
        <v>0.57916666666666594</v>
      </c>
      <c r="S104" s="122">
        <f t="shared" ca="1" si="63"/>
        <v>0.57777777777777706</v>
      </c>
      <c r="T104" s="122">
        <f t="shared" ca="1" si="64"/>
        <v>0.58333333333333259</v>
      </c>
      <c r="U104" s="122">
        <f t="shared" ca="1" si="65"/>
        <v>1.388888888888884E-3</v>
      </c>
      <c r="V104" s="122">
        <f t="shared" ca="1" si="66"/>
        <v>5.5555555555555558E-3</v>
      </c>
      <c r="W104" s="122">
        <f t="shared" ca="1" si="67"/>
        <v>6.9444444444444198E-3</v>
      </c>
      <c r="X104" s="122">
        <f t="shared" ca="1" si="68"/>
        <v>6.9444444444444397E-3</v>
      </c>
      <c r="Y104" s="122">
        <f t="shared" ca="1" si="69"/>
        <v>0.58333333333333259</v>
      </c>
      <c r="Z104" s="115">
        <f t="shared" ca="1" si="70"/>
        <v>0</v>
      </c>
    </row>
    <row r="105" spans="1:26" x14ac:dyDescent="0.35">
      <c r="A105" s="115">
        <f t="shared" ca="1" si="49"/>
        <v>86</v>
      </c>
      <c r="B105" s="115">
        <f t="shared" ca="1" si="46"/>
        <v>1</v>
      </c>
      <c r="C105" s="122">
        <f t="shared" ca="1" si="50"/>
        <v>6.9444444444444447E-4</v>
      </c>
      <c r="D105" s="115">
        <f t="shared" ca="1" si="47"/>
        <v>8</v>
      </c>
      <c r="E105" s="122">
        <f t="shared" ca="1" si="51"/>
        <v>5.5555555555555558E-3</v>
      </c>
      <c r="F105" s="122">
        <f t="shared" ca="1" si="52"/>
        <v>0.57708333333333262</v>
      </c>
      <c r="G105" s="122">
        <f t="shared" ca="1" si="53"/>
        <v>2.0833333333333259E-3</v>
      </c>
      <c r="H105" s="115" t="str">
        <f t="shared" ca="1" si="54"/>
        <v>Ушел</v>
      </c>
      <c r="I105" s="122">
        <f t="shared" ca="1" si="55"/>
        <v>0.5784722222222215</v>
      </c>
      <c r="J105" s="122">
        <f ca="1">IF(ISTEXT($F105),"",MAX($P$19:P104,$F105))</f>
        <v>0.57986111111111038</v>
      </c>
      <c r="K105" s="122">
        <f ca="1">IF(ISTEXT($F105),"",MAX($R$19:R104,$F105))</f>
        <v>0.57916666666666594</v>
      </c>
      <c r="L105" s="122">
        <f t="shared" ca="1" si="56"/>
        <v>0.58333333333333259</v>
      </c>
      <c r="M105" s="122">
        <f t="shared" ca="1" si="57"/>
        <v>0.57916666666666594</v>
      </c>
      <c r="N105" s="115" t="str">
        <f t="shared" ca="1" si="58"/>
        <v/>
      </c>
      <c r="O105" s="122" t="str">
        <f t="shared" ca="1" si="59"/>
        <v/>
      </c>
      <c r="P105" s="122">
        <f t="shared" ca="1" si="60"/>
        <v>0.57986111111111038</v>
      </c>
      <c r="Q105" s="122" t="str">
        <f t="shared" ca="1" si="61"/>
        <v/>
      </c>
      <c r="R105" s="122">
        <f t="shared" ca="1" si="62"/>
        <v>0.57916666666666594</v>
      </c>
      <c r="S105" s="122" t="str">
        <f t="shared" ca="1" si="63"/>
        <v/>
      </c>
      <c r="T105" s="122">
        <f t="shared" ca="1" si="64"/>
        <v>0.58333333333333259</v>
      </c>
      <c r="U105" s="122">
        <f t="shared" ca="1" si="65"/>
        <v>1.388888888888884E-3</v>
      </c>
      <c r="V105" s="122" t="str">
        <f t="shared" ca="1" si="66"/>
        <v/>
      </c>
      <c r="W105" s="122">
        <f ca="1">IFERROR(Y105-F105,"")</f>
        <v>1.388888888888884E-3</v>
      </c>
      <c r="X105" s="122">
        <f t="shared" ca="1" si="68"/>
        <v>1.388888888888884E-3</v>
      </c>
      <c r="Y105" s="122">
        <f t="shared" ca="1" si="69"/>
        <v>0.5784722222222215</v>
      </c>
      <c r="Z105" s="115">
        <f t="shared" ca="1" si="70"/>
        <v>0</v>
      </c>
    </row>
    <row r="106" spans="1:26" x14ac:dyDescent="0.35">
      <c r="A106" s="115">
        <f t="shared" ca="1" si="49"/>
        <v>87</v>
      </c>
      <c r="B106" s="115">
        <f t="shared" ca="1" si="46"/>
        <v>3</v>
      </c>
      <c r="C106" s="122">
        <f t="shared" ca="1" si="50"/>
        <v>2.0833333333333333E-3</v>
      </c>
      <c r="D106" s="115">
        <f t="shared" ca="1" si="47"/>
        <v>3</v>
      </c>
      <c r="E106" s="122">
        <f t="shared" ca="1" si="51"/>
        <v>2.0833333333333333E-3</v>
      </c>
      <c r="F106" s="122">
        <f t="shared" ca="1" si="52"/>
        <v>0.57916666666666594</v>
      </c>
      <c r="G106" s="122">
        <f t="shared" ca="1" si="53"/>
        <v>0</v>
      </c>
      <c r="H106" s="115" t="str">
        <f t="shared" ca="1" si="54"/>
        <v/>
      </c>
      <c r="I106" s="122" t="str">
        <f t="shared" ca="1" si="55"/>
        <v/>
      </c>
      <c r="J106" s="122">
        <f ca="1">IF(ISTEXT($F106),"",MAX($P$19:P105,$F106))</f>
        <v>0.57986111111111038</v>
      </c>
      <c r="K106" s="122">
        <f ca="1">IF(ISTEXT($F106),"",MAX($R$19:R105,$F106))</f>
        <v>0.57916666666666594</v>
      </c>
      <c r="L106" s="122">
        <f t="shared" ca="1" si="56"/>
        <v>0.58333333333333259</v>
      </c>
      <c r="M106" s="122">
        <f t="shared" ca="1" si="57"/>
        <v>0.57916666666666594</v>
      </c>
      <c r="N106" s="115">
        <f t="shared" ca="1" si="58"/>
        <v>2</v>
      </c>
      <c r="O106" s="122" t="str">
        <f t="shared" ca="1" si="59"/>
        <v/>
      </c>
      <c r="P106" s="122">
        <f t="shared" ca="1" si="60"/>
        <v>0.57986111111111038</v>
      </c>
      <c r="Q106" s="122">
        <f t="shared" ca="1" si="61"/>
        <v>0.57916666666666594</v>
      </c>
      <c r="R106" s="122">
        <f t="shared" ca="1" si="62"/>
        <v>0.58124999999999927</v>
      </c>
      <c r="S106" s="122" t="str">
        <f t="shared" ca="1" si="63"/>
        <v/>
      </c>
      <c r="T106" s="122">
        <f t="shared" ca="1" si="64"/>
        <v>0.58333333333333259</v>
      </c>
      <c r="U106" s="122">
        <f t="shared" ca="1" si="65"/>
        <v>0</v>
      </c>
      <c r="V106" s="122">
        <f t="shared" ca="1" si="66"/>
        <v>2.0833333333333333E-3</v>
      </c>
      <c r="W106" s="122">
        <f t="shared" ref="W106:W119" ca="1" si="71">IFERROR(Y106-F106,"")</f>
        <v>2.0833333333333259E-3</v>
      </c>
      <c r="X106" s="122">
        <f t="shared" ca="1" si="68"/>
        <v>2.0833333333333333E-3</v>
      </c>
      <c r="Y106" s="122">
        <f t="shared" ca="1" si="69"/>
        <v>0.58124999999999927</v>
      </c>
      <c r="Z106" s="115">
        <f t="shared" ca="1" si="70"/>
        <v>0</v>
      </c>
    </row>
    <row r="107" spans="1:26" x14ac:dyDescent="0.35">
      <c r="A107" s="115">
        <f t="shared" ca="1" si="49"/>
        <v>88</v>
      </c>
      <c r="B107" s="115">
        <f t="shared" ca="1" si="46"/>
        <v>3</v>
      </c>
      <c r="C107" s="122">
        <f t="shared" ca="1" si="50"/>
        <v>2.0833333333333333E-3</v>
      </c>
      <c r="D107" s="115">
        <f t="shared" ca="1" si="47"/>
        <v>7</v>
      </c>
      <c r="E107" s="122">
        <f t="shared" ca="1" si="51"/>
        <v>4.8611111111111112E-3</v>
      </c>
      <c r="F107" s="122">
        <f t="shared" ca="1" si="52"/>
        <v>0.58124999999999927</v>
      </c>
      <c r="G107" s="122">
        <f t="shared" ca="1" si="53"/>
        <v>0</v>
      </c>
      <c r="H107" s="115" t="str">
        <f t="shared" ca="1" si="54"/>
        <v/>
      </c>
      <c r="I107" s="122" t="str">
        <f t="shared" ca="1" si="55"/>
        <v/>
      </c>
      <c r="J107" s="122">
        <f ca="1">IF(ISTEXT($F107),"",MAX($P$19:P106,$F107))</f>
        <v>0.58124999999999927</v>
      </c>
      <c r="K107" s="122">
        <f ca="1">IF(ISTEXT($F107),"",MAX($R$19:R106,$F107))</f>
        <v>0.58124999999999927</v>
      </c>
      <c r="L107" s="122">
        <f t="shared" ca="1" si="56"/>
        <v>0.58333333333333259</v>
      </c>
      <c r="M107" s="122">
        <f t="shared" ca="1" si="57"/>
        <v>0.58124999999999927</v>
      </c>
      <c r="N107" s="115">
        <f t="shared" ca="1" si="58"/>
        <v>1</v>
      </c>
      <c r="O107" s="122">
        <f t="shared" ca="1" si="59"/>
        <v>0.58124999999999927</v>
      </c>
      <c r="P107" s="122">
        <f t="shared" ca="1" si="60"/>
        <v>0.58611111111111036</v>
      </c>
      <c r="Q107" s="122" t="str">
        <f t="shared" ca="1" si="61"/>
        <v/>
      </c>
      <c r="R107" s="122">
        <f t="shared" ca="1" si="62"/>
        <v>0.58124999999999927</v>
      </c>
      <c r="S107" s="122" t="str">
        <f t="shared" ca="1" si="63"/>
        <v/>
      </c>
      <c r="T107" s="122">
        <f t="shared" ca="1" si="64"/>
        <v>0.58333333333333259</v>
      </c>
      <c r="U107" s="122">
        <f t="shared" ca="1" si="65"/>
        <v>0</v>
      </c>
      <c r="V107" s="122">
        <f t="shared" ca="1" si="66"/>
        <v>4.8611111111111112E-3</v>
      </c>
      <c r="W107" s="122">
        <f t="shared" ca="1" si="71"/>
        <v>4.8611111111110938E-3</v>
      </c>
      <c r="X107" s="122">
        <f t="shared" ca="1" si="68"/>
        <v>4.8611111111111112E-3</v>
      </c>
      <c r="Y107" s="122">
        <f t="shared" ca="1" si="69"/>
        <v>0.58611111111111036</v>
      </c>
      <c r="Z107" s="115">
        <f t="shared" ca="1" si="70"/>
        <v>0</v>
      </c>
    </row>
    <row r="108" spans="1:26" x14ac:dyDescent="0.35">
      <c r="A108" s="115">
        <f t="shared" ca="1" si="49"/>
        <v>89</v>
      </c>
      <c r="B108" s="115">
        <f t="shared" ca="1" si="46"/>
        <v>3</v>
      </c>
      <c r="C108" s="122">
        <f t="shared" ca="1" si="50"/>
        <v>2.0833333333333333E-3</v>
      </c>
      <c r="D108" s="115">
        <f t="shared" ca="1" si="47"/>
        <v>7</v>
      </c>
      <c r="E108" s="122">
        <f t="shared" ca="1" si="51"/>
        <v>4.8611111111111112E-3</v>
      </c>
      <c r="F108" s="122">
        <f t="shared" ca="1" si="52"/>
        <v>0.58333333333333259</v>
      </c>
      <c r="G108" s="122">
        <f t="shared" ca="1" si="53"/>
        <v>0</v>
      </c>
      <c r="H108" s="115" t="str">
        <f t="shared" ca="1" si="54"/>
        <v/>
      </c>
      <c r="I108" s="122" t="str">
        <f t="shared" ca="1" si="55"/>
        <v/>
      </c>
      <c r="J108" s="122">
        <f ca="1">IF(ISTEXT($F108),"",MAX($P$19:P107,$F108))</f>
        <v>0.58611111111111036</v>
      </c>
      <c r="K108" s="122">
        <f ca="1">IF(ISTEXT($F108),"",MAX($R$19:R107,$F108))</f>
        <v>0.58333333333333259</v>
      </c>
      <c r="L108" s="122">
        <f t="shared" ca="1" si="56"/>
        <v>0.58333333333333259</v>
      </c>
      <c r="M108" s="122">
        <f t="shared" ca="1" si="57"/>
        <v>0.58333333333333259</v>
      </c>
      <c r="N108" s="115">
        <f t="shared" ca="1" si="58"/>
        <v>2</v>
      </c>
      <c r="O108" s="122" t="str">
        <f t="shared" ca="1" si="59"/>
        <v/>
      </c>
      <c r="P108" s="122">
        <f t="shared" ca="1" si="60"/>
        <v>0.58611111111111036</v>
      </c>
      <c r="Q108" s="122">
        <f t="shared" ca="1" si="61"/>
        <v>0.58333333333333259</v>
      </c>
      <c r="R108" s="122">
        <f t="shared" ca="1" si="62"/>
        <v>0.58819444444444369</v>
      </c>
      <c r="S108" s="122" t="str">
        <f t="shared" ca="1" si="63"/>
        <v/>
      </c>
      <c r="T108" s="122">
        <f t="shared" ca="1" si="64"/>
        <v>0.58333333333333259</v>
      </c>
      <c r="U108" s="122">
        <f t="shared" ca="1" si="65"/>
        <v>0</v>
      </c>
      <c r="V108" s="122">
        <f t="shared" ca="1" si="66"/>
        <v>4.8611111111111112E-3</v>
      </c>
      <c r="W108" s="122">
        <f t="shared" ca="1" si="71"/>
        <v>4.8611111111110938E-3</v>
      </c>
      <c r="X108" s="122">
        <f t="shared" ca="1" si="68"/>
        <v>4.8611111111111112E-3</v>
      </c>
      <c r="Y108" s="122">
        <f t="shared" ca="1" si="69"/>
        <v>0.58819444444444369</v>
      </c>
      <c r="Z108" s="115">
        <f t="shared" ca="1" si="70"/>
        <v>0</v>
      </c>
    </row>
    <row r="109" spans="1:26" x14ac:dyDescent="0.35">
      <c r="A109" s="115">
        <f t="shared" ca="1" si="49"/>
        <v>90</v>
      </c>
      <c r="B109" s="115">
        <f t="shared" ca="1" si="46"/>
        <v>3</v>
      </c>
      <c r="C109" s="122">
        <f t="shared" ca="1" si="50"/>
        <v>2.0833333333333333E-3</v>
      </c>
      <c r="D109" s="115">
        <f t="shared" ca="1" si="47"/>
        <v>7</v>
      </c>
      <c r="E109" s="122">
        <f t="shared" ca="1" si="51"/>
        <v>4.8611111111111112E-3</v>
      </c>
      <c r="F109" s="122">
        <f t="shared" ca="1" si="52"/>
        <v>0.58541666666666592</v>
      </c>
      <c r="G109" s="122">
        <f t="shared" ca="1" si="53"/>
        <v>0</v>
      </c>
      <c r="H109" s="115" t="str">
        <f t="shared" ca="1" si="54"/>
        <v/>
      </c>
      <c r="I109" s="122" t="str">
        <f t="shared" ca="1" si="55"/>
        <v/>
      </c>
      <c r="J109" s="122">
        <f ca="1">IF(ISTEXT($F109),"",MAX($P$19:P108,$F109))</f>
        <v>0.58611111111111036</v>
      </c>
      <c r="K109" s="122">
        <f ca="1">IF(ISTEXT($F109),"",MAX($R$19:R108,$F109))</f>
        <v>0.58819444444444369</v>
      </c>
      <c r="L109" s="122">
        <f t="shared" ca="1" si="56"/>
        <v>0.58541666666666592</v>
      </c>
      <c r="M109" s="122">
        <f t="shared" ca="1" si="57"/>
        <v>0.58541666666666592</v>
      </c>
      <c r="N109" s="115">
        <f t="shared" ca="1" si="58"/>
        <v>3</v>
      </c>
      <c r="O109" s="122" t="str">
        <f t="shared" ca="1" si="59"/>
        <v/>
      </c>
      <c r="P109" s="122">
        <f t="shared" ca="1" si="60"/>
        <v>0.58611111111111036</v>
      </c>
      <c r="Q109" s="122" t="str">
        <f t="shared" ca="1" si="61"/>
        <v/>
      </c>
      <c r="R109" s="122">
        <f t="shared" ca="1" si="62"/>
        <v>0.58819444444444369</v>
      </c>
      <c r="S109" s="122">
        <f t="shared" ca="1" si="63"/>
        <v>0.58541666666666592</v>
      </c>
      <c r="T109" s="122">
        <f t="shared" ca="1" si="64"/>
        <v>0.59027777777777701</v>
      </c>
      <c r="U109" s="122">
        <f t="shared" ca="1" si="65"/>
        <v>0</v>
      </c>
      <c r="V109" s="122">
        <f t="shared" ca="1" si="66"/>
        <v>4.8611111111111112E-3</v>
      </c>
      <c r="W109" s="122">
        <f t="shared" ca="1" si="71"/>
        <v>4.8611111111110938E-3</v>
      </c>
      <c r="X109" s="122">
        <f t="shared" ca="1" si="68"/>
        <v>4.8611111111111112E-3</v>
      </c>
      <c r="Y109" s="122">
        <f t="shared" ca="1" si="69"/>
        <v>0.59027777777777701</v>
      </c>
      <c r="Z109" s="115">
        <f t="shared" ca="1" si="70"/>
        <v>0</v>
      </c>
    </row>
    <row r="110" spans="1:26" x14ac:dyDescent="0.35">
      <c r="A110" s="115">
        <f t="shared" ca="1" si="49"/>
        <v>91</v>
      </c>
      <c r="B110" s="115">
        <f t="shared" ca="1" si="46"/>
        <v>5</v>
      </c>
      <c r="C110" s="122">
        <f t="shared" ca="1" si="50"/>
        <v>3.472222222222222E-3</v>
      </c>
      <c r="D110" s="115">
        <f t="shared" ca="1" si="47"/>
        <v>7</v>
      </c>
      <c r="E110" s="122">
        <f t="shared" ca="1" si="51"/>
        <v>4.8611111111111112E-3</v>
      </c>
      <c r="F110" s="122">
        <f t="shared" ca="1" si="52"/>
        <v>0.58888888888888813</v>
      </c>
      <c r="G110" s="122">
        <f t="shared" ca="1" si="53"/>
        <v>0</v>
      </c>
      <c r="H110" s="115" t="str">
        <f t="shared" ca="1" si="54"/>
        <v/>
      </c>
      <c r="I110" s="122" t="str">
        <f t="shared" ca="1" si="55"/>
        <v/>
      </c>
      <c r="J110" s="122">
        <f ca="1">IF(ISTEXT($F110),"",MAX($P$19:P109,$F110))</f>
        <v>0.58888888888888813</v>
      </c>
      <c r="K110" s="122">
        <f ca="1">IF(ISTEXT($F110),"",MAX($R$19:R109,$F110))</f>
        <v>0.58888888888888813</v>
      </c>
      <c r="L110" s="122">
        <f t="shared" ca="1" si="56"/>
        <v>0.59027777777777701</v>
      </c>
      <c r="M110" s="122">
        <f t="shared" ca="1" si="57"/>
        <v>0.58888888888888813</v>
      </c>
      <c r="N110" s="115">
        <f t="shared" ca="1" si="58"/>
        <v>1</v>
      </c>
      <c r="O110" s="122">
        <f t="shared" ca="1" si="59"/>
        <v>0.58888888888888813</v>
      </c>
      <c r="P110" s="122">
        <f t="shared" ca="1" si="60"/>
        <v>0.59374999999999922</v>
      </c>
      <c r="Q110" s="122" t="str">
        <f t="shared" ca="1" si="61"/>
        <v/>
      </c>
      <c r="R110" s="122">
        <f t="shared" ca="1" si="62"/>
        <v>0.58819444444444369</v>
      </c>
      <c r="S110" s="122" t="str">
        <f t="shared" ca="1" si="63"/>
        <v/>
      </c>
      <c r="T110" s="122">
        <f t="shared" ca="1" si="64"/>
        <v>0.59027777777777701</v>
      </c>
      <c r="U110" s="122">
        <f t="shared" ca="1" si="65"/>
        <v>0</v>
      </c>
      <c r="V110" s="122">
        <f t="shared" ca="1" si="66"/>
        <v>4.8611111111111112E-3</v>
      </c>
      <c r="W110" s="122">
        <f t="shared" ca="1" si="71"/>
        <v>4.8611111111110938E-3</v>
      </c>
      <c r="X110" s="122">
        <f t="shared" ca="1" si="68"/>
        <v>4.8611111111111112E-3</v>
      </c>
      <c r="Y110" s="122">
        <f t="shared" ca="1" si="69"/>
        <v>0.59374999999999922</v>
      </c>
      <c r="Z110" s="115">
        <f t="shared" ca="1" si="70"/>
        <v>0</v>
      </c>
    </row>
    <row r="111" spans="1:26" x14ac:dyDescent="0.35">
      <c r="A111" s="115">
        <f t="shared" ca="1" si="49"/>
        <v>92</v>
      </c>
      <c r="B111" s="115">
        <f t="shared" ca="1" si="46"/>
        <v>5</v>
      </c>
      <c r="C111" s="122">
        <f t="shared" ca="1" si="50"/>
        <v>3.472222222222222E-3</v>
      </c>
      <c r="D111" s="115">
        <f t="shared" ca="1" si="47"/>
        <v>3</v>
      </c>
      <c r="E111" s="122">
        <f t="shared" ca="1" si="51"/>
        <v>2.0833333333333333E-3</v>
      </c>
      <c r="F111" s="122">
        <f t="shared" ca="1" si="52"/>
        <v>0.59236111111111034</v>
      </c>
      <c r="G111" s="122">
        <f t="shared" ca="1" si="53"/>
        <v>0</v>
      </c>
      <c r="H111" s="115" t="str">
        <f t="shared" ca="1" si="54"/>
        <v/>
      </c>
      <c r="I111" s="122" t="str">
        <f t="shared" ca="1" si="55"/>
        <v/>
      </c>
      <c r="J111" s="122">
        <f ca="1">IF(ISTEXT($F111),"",MAX($P$19:P110,$F111))</f>
        <v>0.59374999999999922</v>
      </c>
      <c r="K111" s="122">
        <f ca="1">IF(ISTEXT($F111),"",MAX($R$19:R110,$F111))</f>
        <v>0.59236111111111034</v>
      </c>
      <c r="L111" s="122">
        <f t="shared" ca="1" si="56"/>
        <v>0.59236111111111034</v>
      </c>
      <c r="M111" s="122">
        <f t="shared" ca="1" si="57"/>
        <v>0.59236111111111034</v>
      </c>
      <c r="N111" s="115">
        <f t="shared" ca="1" si="58"/>
        <v>2</v>
      </c>
      <c r="O111" s="122" t="str">
        <f t="shared" ca="1" si="59"/>
        <v/>
      </c>
      <c r="P111" s="122">
        <f t="shared" ca="1" si="60"/>
        <v>0.59374999999999922</v>
      </c>
      <c r="Q111" s="122">
        <f t="shared" ca="1" si="61"/>
        <v>0.59236111111111034</v>
      </c>
      <c r="R111" s="122">
        <f t="shared" ca="1" si="62"/>
        <v>0.59444444444444366</v>
      </c>
      <c r="S111" s="122" t="str">
        <f t="shared" ca="1" si="63"/>
        <v/>
      </c>
      <c r="T111" s="122">
        <f t="shared" ca="1" si="64"/>
        <v>0.59027777777777701</v>
      </c>
      <c r="U111" s="122">
        <f t="shared" ca="1" si="65"/>
        <v>0</v>
      </c>
      <c r="V111" s="122">
        <f t="shared" ca="1" si="66"/>
        <v>2.0833333333333333E-3</v>
      </c>
      <c r="W111" s="122">
        <f t="shared" ca="1" si="71"/>
        <v>2.0833333333333259E-3</v>
      </c>
      <c r="X111" s="122">
        <f t="shared" ca="1" si="68"/>
        <v>2.0833333333333333E-3</v>
      </c>
      <c r="Y111" s="122">
        <f t="shared" ca="1" si="69"/>
        <v>0.59444444444444366</v>
      </c>
      <c r="Z111" s="115">
        <f t="shared" ca="1" si="70"/>
        <v>0</v>
      </c>
    </row>
    <row r="112" spans="1:26" x14ac:dyDescent="0.35">
      <c r="A112" s="115">
        <f t="shared" ca="1" si="49"/>
        <v>93</v>
      </c>
      <c r="B112" s="115">
        <f t="shared" ca="1" si="46"/>
        <v>1</v>
      </c>
      <c r="C112" s="122">
        <f t="shared" ca="1" si="50"/>
        <v>6.9444444444444447E-4</v>
      </c>
      <c r="D112" s="115">
        <f t="shared" ca="1" si="47"/>
        <v>8</v>
      </c>
      <c r="E112" s="122">
        <f t="shared" ca="1" si="51"/>
        <v>5.5555555555555558E-3</v>
      </c>
      <c r="F112" s="122">
        <f t="shared" ca="1" si="52"/>
        <v>0.59305555555555478</v>
      </c>
      <c r="G112" s="122">
        <f t="shared" ca="1" si="53"/>
        <v>0</v>
      </c>
      <c r="H112" s="115" t="str">
        <f t="shared" ca="1" si="54"/>
        <v/>
      </c>
      <c r="I112" s="122" t="str">
        <f t="shared" ca="1" si="55"/>
        <v/>
      </c>
      <c r="J112" s="122">
        <f ca="1">IF(ISTEXT($F112),"",MAX($P$19:P111,$F112))</f>
        <v>0.59374999999999922</v>
      </c>
      <c r="K112" s="122">
        <f ca="1">IF(ISTEXT($F112),"",MAX($R$19:R111,$F112))</f>
        <v>0.59444444444444366</v>
      </c>
      <c r="L112" s="122">
        <f t="shared" ca="1" si="56"/>
        <v>0.59305555555555478</v>
      </c>
      <c r="M112" s="122">
        <f t="shared" ca="1" si="57"/>
        <v>0.59305555555555478</v>
      </c>
      <c r="N112" s="115">
        <f t="shared" ca="1" si="58"/>
        <v>3</v>
      </c>
      <c r="O112" s="122" t="str">
        <f t="shared" ca="1" si="59"/>
        <v/>
      </c>
      <c r="P112" s="122">
        <f t="shared" ca="1" si="60"/>
        <v>0.59374999999999922</v>
      </c>
      <c r="Q112" s="122" t="str">
        <f t="shared" ca="1" si="61"/>
        <v/>
      </c>
      <c r="R112" s="122">
        <f t="shared" ca="1" si="62"/>
        <v>0.59444444444444366</v>
      </c>
      <c r="S112" s="122">
        <f t="shared" ca="1" si="63"/>
        <v>0.59305555555555478</v>
      </c>
      <c r="T112" s="122">
        <f t="shared" ca="1" si="64"/>
        <v>0.59861111111111032</v>
      </c>
      <c r="U112" s="122">
        <f t="shared" ca="1" si="65"/>
        <v>0</v>
      </c>
      <c r="V112" s="122">
        <f t="shared" ca="1" si="66"/>
        <v>5.5555555555555558E-3</v>
      </c>
      <c r="W112" s="122">
        <f t="shared" ca="1" si="71"/>
        <v>5.5555555555555358E-3</v>
      </c>
      <c r="X112" s="122">
        <f t="shared" ca="1" si="68"/>
        <v>5.5555555555555558E-3</v>
      </c>
      <c r="Y112" s="122">
        <f t="shared" ca="1" si="69"/>
        <v>0.59861111111111032</v>
      </c>
      <c r="Z112" s="115">
        <f t="shared" ca="1" si="70"/>
        <v>0</v>
      </c>
    </row>
    <row r="113" spans="1:26" x14ac:dyDescent="0.35">
      <c r="A113" s="115">
        <f t="shared" ca="1" si="49"/>
        <v>94</v>
      </c>
      <c r="B113" s="115">
        <f t="shared" ca="1" si="46"/>
        <v>10</v>
      </c>
      <c r="C113" s="122">
        <f t="shared" ca="1" si="50"/>
        <v>6.9444444444444441E-3</v>
      </c>
      <c r="D113" s="115">
        <f t="shared" ca="1" si="47"/>
        <v>3</v>
      </c>
      <c r="E113" s="122">
        <f t="shared" ca="1" si="51"/>
        <v>2.0833333333333333E-3</v>
      </c>
      <c r="F113" s="122">
        <f t="shared" ca="1" si="52"/>
        <v>0.5999999999999992</v>
      </c>
      <c r="G113" s="122">
        <f t="shared" ca="1" si="53"/>
        <v>0</v>
      </c>
      <c r="H113" s="115" t="str">
        <f t="shared" ca="1" si="54"/>
        <v/>
      </c>
      <c r="I113" s="122" t="str">
        <f t="shared" ca="1" si="55"/>
        <v/>
      </c>
      <c r="J113" s="122">
        <f ca="1">IF(ISTEXT($F113),"",MAX($P$19:P112,$F113))</f>
        <v>0.5999999999999992</v>
      </c>
      <c r="K113" s="122">
        <f ca="1">IF(ISTEXT($F113),"",MAX($R$19:R112,$F113))</f>
        <v>0.5999999999999992</v>
      </c>
      <c r="L113" s="122">
        <f t="shared" ca="1" si="56"/>
        <v>0.5999999999999992</v>
      </c>
      <c r="M113" s="122">
        <f t="shared" ca="1" si="57"/>
        <v>0.5999999999999992</v>
      </c>
      <c r="N113" s="115">
        <f t="shared" ca="1" si="58"/>
        <v>1</v>
      </c>
      <c r="O113" s="122">
        <f t="shared" ca="1" si="59"/>
        <v>0.5999999999999992</v>
      </c>
      <c r="P113" s="122">
        <f t="shared" ca="1" si="60"/>
        <v>0.60208333333333253</v>
      </c>
      <c r="Q113" s="122" t="str">
        <f t="shared" ca="1" si="61"/>
        <v/>
      </c>
      <c r="R113" s="122">
        <f t="shared" ca="1" si="62"/>
        <v>0.59444444444444366</v>
      </c>
      <c r="S113" s="122" t="str">
        <f t="shared" ca="1" si="63"/>
        <v/>
      </c>
      <c r="T113" s="122">
        <f t="shared" ca="1" si="64"/>
        <v>0.59861111111111032</v>
      </c>
      <c r="U113" s="122">
        <f t="shared" ca="1" si="65"/>
        <v>0</v>
      </c>
      <c r="V113" s="122">
        <f t="shared" ca="1" si="66"/>
        <v>2.0833333333333333E-3</v>
      </c>
      <c r="W113" s="122">
        <f t="shared" ca="1" si="71"/>
        <v>2.0833333333333259E-3</v>
      </c>
      <c r="X113" s="122">
        <f t="shared" ca="1" si="68"/>
        <v>2.0833333333333333E-3</v>
      </c>
      <c r="Y113" s="122">
        <f t="shared" ca="1" si="69"/>
        <v>0.60208333333333253</v>
      </c>
      <c r="Z113" s="115">
        <f t="shared" ca="1" si="70"/>
        <v>0</v>
      </c>
    </row>
    <row r="114" spans="1:26" x14ac:dyDescent="0.35">
      <c r="A114" s="115">
        <f t="shared" ca="1" si="49"/>
        <v>95</v>
      </c>
      <c r="B114" s="115">
        <f t="shared" ca="1" si="46"/>
        <v>3</v>
      </c>
      <c r="C114" s="122">
        <f t="shared" ca="1" si="50"/>
        <v>2.0833333333333333E-3</v>
      </c>
      <c r="D114" s="115">
        <f t="shared" ca="1" si="47"/>
        <v>3</v>
      </c>
      <c r="E114" s="122">
        <f t="shared" ca="1" si="51"/>
        <v>2.0833333333333333E-3</v>
      </c>
      <c r="F114" s="122">
        <f t="shared" ca="1" si="52"/>
        <v>0.60208333333333253</v>
      </c>
      <c r="G114" s="122">
        <f t="shared" ca="1" si="53"/>
        <v>0</v>
      </c>
      <c r="H114" s="115" t="str">
        <f t="shared" ca="1" si="54"/>
        <v/>
      </c>
      <c r="I114" s="122" t="str">
        <f t="shared" ca="1" si="55"/>
        <v/>
      </c>
      <c r="J114" s="122">
        <f ca="1">IF(ISTEXT($F114),"",MAX($P$19:P113,$F114))</f>
        <v>0.60208333333333253</v>
      </c>
      <c r="K114" s="122">
        <f ca="1">IF(ISTEXT($F114),"",MAX($R$19:R113,$F114))</f>
        <v>0.60208333333333253</v>
      </c>
      <c r="L114" s="122">
        <f t="shared" ca="1" si="56"/>
        <v>0.60208333333333253</v>
      </c>
      <c r="M114" s="122">
        <f t="shared" ca="1" si="57"/>
        <v>0.60208333333333253</v>
      </c>
      <c r="N114" s="115">
        <f t="shared" ca="1" si="58"/>
        <v>1</v>
      </c>
      <c r="O114" s="122">
        <f t="shared" ca="1" si="59"/>
        <v>0.60208333333333253</v>
      </c>
      <c r="P114" s="122">
        <f t="shared" ca="1" si="60"/>
        <v>0.60416666666666585</v>
      </c>
      <c r="Q114" s="122" t="str">
        <f t="shared" ca="1" si="61"/>
        <v/>
      </c>
      <c r="R114" s="122">
        <f t="shared" ca="1" si="62"/>
        <v>0.59444444444444366</v>
      </c>
      <c r="S114" s="122" t="str">
        <f t="shared" ca="1" si="63"/>
        <v/>
      </c>
      <c r="T114" s="122">
        <f t="shared" ca="1" si="64"/>
        <v>0.59861111111111032</v>
      </c>
      <c r="U114" s="122">
        <f t="shared" ca="1" si="65"/>
        <v>0</v>
      </c>
      <c r="V114" s="122">
        <f t="shared" ca="1" si="66"/>
        <v>2.0833333333333333E-3</v>
      </c>
      <c r="W114" s="122">
        <f t="shared" ca="1" si="71"/>
        <v>2.0833333333333259E-3</v>
      </c>
      <c r="X114" s="122">
        <f t="shared" ca="1" si="68"/>
        <v>2.0833333333333333E-3</v>
      </c>
      <c r="Y114" s="122">
        <f t="shared" ca="1" si="69"/>
        <v>0.60416666666666585</v>
      </c>
      <c r="Z114" s="115">
        <f t="shared" ca="1" si="70"/>
        <v>0</v>
      </c>
    </row>
    <row r="115" spans="1:26" x14ac:dyDescent="0.35">
      <c r="A115" s="115">
        <f t="shared" ca="1" si="49"/>
        <v>96</v>
      </c>
      <c r="B115" s="115">
        <f t="shared" ca="1" si="46"/>
        <v>1</v>
      </c>
      <c r="C115" s="122">
        <f t="shared" ca="1" si="50"/>
        <v>6.9444444444444447E-4</v>
      </c>
      <c r="D115" s="115">
        <f t="shared" ca="1" si="47"/>
        <v>8</v>
      </c>
      <c r="E115" s="122">
        <f t="shared" ca="1" si="51"/>
        <v>5.5555555555555558E-3</v>
      </c>
      <c r="F115" s="122">
        <f t="shared" ca="1" si="52"/>
        <v>0.60277777777777697</v>
      </c>
      <c r="G115" s="122">
        <f t="shared" ca="1" si="53"/>
        <v>0</v>
      </c>
      <c r="H115" s="115" t="str">
        <f t="shared" ca="1" si="54"/>
        <v/>
      </c>
      <c r="I115" s="122" t="str">
        <f t="shared" ca="1" si="55"/>
        <v/>
      </c>
      <c r="J115" s="122">
        <f ca="1">IF(ISTEXT($F115),"",MAX($P$19:P114,$F115))</f>
        <v>0.60416666666666585</v>
      </c>
      <c r="K115" s="122">
        <f ca="1">IF(ISTEXT($F115),"",MAX($R$19:R114,$F115))</f>
        <v>0.60277777777777697</v>
      </c>
      <c r="L115" s="122">
        <f t="shared" ca="1" si="56"/>
        <v>0.60277777777777697</v>
      </c>
      <c r="M115" s="122">
        <f t="shared" ca="1" si="57"/>
        <v>0.60277777777777697</v>
      </c>
      <c r="N115" s="115">
        <f t="shared" ca="1" si="58"/>
        <v>2</v>
      </c>
      <c r="O115" s="122" t="str">
        <f t="shared" ca="1" si="59"/>
        <v/>
      </c>
      <c r="P115" s="122">
        <f t="shared" ca="1" si="60"/>
        <v>0.60416666666666585</v>
      </c>
      <c r="Q115" s="122">
        <f t="shared" ca="1" si="61"/>
        <v>0.60277777777777697</v>
      </c>
      <c r="R115" s="122">
        <f t="shared" ca="1" si="62"/>
        <v>0.6083333333333325</v>
      </c>
      <c r="S115" s="122" t="str">
        <f t="shared" ca="1" si="63"/>
        <v/>
      </c>
      <c r="T115" s="122">
        <f t="shared" ca="1" si="64"/>
        <v>0.59861111111111032</v>
      </c>
      <c r="U115" s="122">
        <f t="shared" ca="1" si="65"/>
        <v>0</v>
      </c>
      <c r="V115" s="122">
        <f t="shared" ca="1" si="66"/>
        <v>5.5555555555555558E-3</v>
      </c>
      <c r="W115" s="122">
        <f t="shared" ca="1" si="71"/>
        <v>5.5555555555555358E-3</v>
      </c>
      <c r="X115" s="122">
        <f t="shared" ca="1" si="68"/>
        <v>5.5555555555555558E-3</v>
      </c>
      <c r="Y115" s="122">
        <f t="shared" ca="1" si="69"/>
        <v>0.6083333333333325</v>
      </c>
      <c r="Z115" s="115">
        <f t="shared" ca="1" si="70"/>
        <v>0</v>
      </c>
    </row>
    <row r="116" spans="1:26" x14ac:dyDescent="0.35">
      <c r="A116" s="115">
        <f t="shared" ca="1" si="49"/>
        <v>97</v>
      </c>
      <c r="B116" s="115">
        <f t="shared" ca="1" si="46"/>
        <v>3</v>
      </c>
      <c r="C116" s="122">
        <f t="shared" ca="1" si="50"/>
        <v>2.0833333333333333E-3</v>
      </c>
      <c r="D116" s="115">
        <f t="shared" ca="1" si="47"/>
        <v>7</v>
      </c>
      <c r="E116" s="122">
        <f t="shared" ca="1" si="51"/>
        <v>4.8611111111111112E-3</v>
      </c>
      <c r="F116" s="122">
        <f t="shared" ca="1" si="52"/>
        <v>0.60486111111111029</v>
      </c>
      <c r="G116" s="122">
        <f t="shared" ca="1" si="53"/>
        <v>0</v>
      </c>
      <c r="H116" s="115" t="str">
        <f t="shared" ca="1" si="54"/>
        <v/>
      </c>
      <c r="I116" s="122" t="str">
        <f t="shared" ca="1" si="55"/>
        <v/>
      </c>
      <c r="J116" s="122">
        <f ca="1">IF(ISTEXT($F116),"",MAX($P$19:P115,$F116))</f>
        <v>0.60486111111111029</v>
      </c>
      <c r="K116" s="122">
        <f ca="1">IF(ISTEXT($F116),"",MAX($R$19:R115,$F116))</f>
        <v>0.6083333333333325</v>
      </c>
      <c r="L116" s="122">
        <f t="shared" ca="1" si="56"/>
        <v>0.60486111111111029</v>
      </c>
      <c r="M116" s="122">
        <f t="shared" ca="1" si="57"/>
        <v>0.60486111111111029</v>
      </c>
      <c r="N116" s="115">
        <f t="shared" ca="1" si="58"/>
        <v>1</v>
      </c>
      <c r="O116" s="122">
        <f t="shared" ca="1" si="59"/>
        <v>0.60486111111111029</v>
      </c>
      <c r="P116" s="122">
        <f t="shared" ca="1" si="60"/>
        <v>0.60972222222222139</v>
      </c>
      <c r="Q116" s="122" t="str">
        <f t="shared" ca="1" si="61"/>
        <v/>
      </c>
      <c r="R116" s="122">
        <f t="shared" ca="1" si="62"/>
        <v>0.6083333333333325</v>
      </c>
      <c r="S116" s="122" t="str">
        <f t="shared" ca="1" si="63"/>
        <v/>
      </c>
      <c r="T116" s="122">
        <f t="shared" ca="1" si="64"/>
        <v>0.59861111111111032</v>
      </c>
      <c r="U116" s="122">
        <f t="shared" ca="1" si="65"/>
        <v>0</v>
      </c>
      <c r="V116" s="122">
        <f t="shared" ca="1" si="66"/>
        <v>4.8611111111111112E-3</v>
      </c>
      <c r="W116" s="122">
        <f t="shared" ca="1" si="71"/>
        <v>4.8611111111110938E-3</v>
      </c>
      <c r="X116" s="122">
        <f t="shared" ca="1" si="68"/>
        <v>4.8611111111111112E-3</v>
      </c>
      <c r="Y116" s="122">
        <f t="shared" ca="1" si="69"/>
        <v>0.60972222222222139</v>
      </c>
      <c r="Z116" s="115">
        <f t="shared" ca="1" si="70"/>
        <v>0</v>
      </c>
    </row>
    <row r="117" spans="1:26" x14ac:dyDescent="0.35">
      <c r="A117" s="115">
        <f t="shared" ca="1" si="49"/>
        <v>98</v>
      </c>
      <c r="B117" s="115">
        <f t="shared" ca="1" si="46"/>
        <v>10</v>
      </c>
      <c r="C117" s="122">
        <f t="shared" ca="1" si="50"/>
        <v>6.9444444444444441E-3</v>
      </c>
      <c r="D117" s="115">
        <f t="shared" ca="1" si="47"/>
        <v>8</v>
      </c>
      <c r="E117" s="122">
        <f t="shared" ca="1" si="51"/>
        <v>5.5555555555555558E-3</v>
      </c>
      <c r="F117" s="122">
        <f t="shared" ca="1" si="52"/>
        <v>0.61180555555555471</v>
      </c>
      <c r="G117" s="122">
        <f t="shared" ca="1" si="53"/>
        <v>0</v>
      </c>
      <c r="H117" s="115" t="str">
        <f t="shared" ca="1" si="54"/>
        <v/>
      </c>
      <c r="I117" s="122" t="str">
        <f t="shared" ca="1" si="55"/>
        <v/>
      </c>
      <c r="J117" s="122">
        <f ca="1">IF(ISTEXT($F117),"",MAX($P$19:P116,$F117))</f>
        <v>0.61180555555555471</v>
      </c>
      <c r="K117" s="122">
        <f ca="1">IF(ISTEXT($F117),"",MAX($R$19:R116,$F117))</f>
        <v>0.61180555555555471</v>
      </c>
      <c r="L117" s="122">
        <f t="shared" ca="1" si="56"/>
        <v>0.61180555555555471</v>
      </c>
      <c r="M117" s="122">
        <f t="shared" ca="1" si="57"/>
        <v>0.61180555555555471</v>
      </c>
      <c r="N117" s="115">
        <f t="shared" ca="1" si="58"/>
        <v>1</v>
      </c>
      <c r="O117" s="122">
        <f t="shared" ca="1" si="59"/>
        <v>0.61180555555555471</v>
      </c>
      <c r="P117" s="122">
        <f t="shared" ca="1" si="60"/>
        <v>0.61736111111111025</v>
      </c>
      <c r="Q117" s="122" t="str">
        <f t="shared" ca="1" si="61"/>
        <v/>
      </c>
      <c r="R117" s="122">
        <f t="shared" ca="1" si="62"/>
        <v>0.6083333333333325</v>
      </c>
      <c r="S117" s="122" t="str">
        <f t="shared" ca="1" si="63"/>
        <v/>
      </c>
      <c r="T117" s="122">
        <f t="shared" ca="1" si="64"/>
        <v>0.59861111111111032</v>
      </c>
      <c r="U117" s="122">
        <f t="shared" ca="1" si="65"/>
        <v>0</v>
      </c>
      <c r="V117" s="122">
        <f t="shared" ca="1" si="66"/>
        <v>5.5555555555555558E-3</v>
      </c>
      <c r="W117" s="122">
        <f t="shared" ca="1" si="71"/>
        <v>5.5555555555555358E-3</v>
      </c>
      <c r="X117" s="122">
        <f t="shared" ca="1" si="68"/>
        <v>5.5555555555555558E-3</v>
      </c>
      <c r="Y117" s="122">
        <f t="shared" ca="1" si="69"/>
        <v>0.61736111111111025</v>
      </c>
      <c r="Z117" s="115">
        <f t="shared" ca="1" si="70"/>
        <v>0</v>
      </c>
    </row>
    <row r="118" spans="1:26" x14ac:dyDescent="0.35">
      <c r="A118" s="115">
        <f t="shared" ca="1" si="49"/>
        <v>99</v>
      </c>
      <c r="B118" s="115">
        <f t="shared" ca="1" si="46"/>
        <v>10</v>
      </c>
      <c r="C118" s="122">
        <f t="shared" ca="1" si="50"/>
        <v>6.9444444444444441E-3</v>
      </c>
      <c r="D118" s="115">
        <f t="shared" ca="1" si="47"/>
        <v>8</v>
      </c>
      <c r="E118" s="122">
        <f t="shared" ca="1" si="51"/>
        <v>5.5555555555555558E-3</v>
      </c>
      <c r="F118" s="122">
        <f t="shared" ca="1" si="52"/>
        <v>0.61874999999999913</v>
      </c>
      <c r="G118" s="122">
        <f t="shared" ca="1" si="53"/>
        <v>0</v>
      </c>
      <c r="H118" s="115" t="str">
        <f t="shared" ca="1" si="54"/>
        <v/>
      </c>
      <c r="I118" s="122" t="str">
        <f t="shared" ca="1" si="55"/>
        <v/>
      </c>
      <c r="J118" s="122">
        <f ca="1">IF(ISTEXT($F118),"",MAX($P$19:P117,$F118))</f>
        <v>0.61874999999999913</v>
      </c>
      <c r="K118" s="122">
        <f ca="1">IF(ISTEXT($F118),"",MAX($R$19:R117,$F118))</f>
        <v>0.61874999999999913</v>
      </c>
      <c r="L118" s="122">
        <f t="shared" ca="1" si="56"/>
        <v>0.61874999999999913</v>
      </c>
      <c r="M118" s="122">
        <f t="shared" ca="1" si="57"/>
        <v>0.61874999999999913</v>
      </c>
      <c r="N118" s="115">
        <f t="shared" ca="1" si="58"/>
        <v>1</v>
      </c>
      <c r="O118" s="122">
        <f t="shared" ca="1" si="59"/>
        <v>0.61874999999999913</v>
      </c>
      <c r="P118" s="122">
        <f t="shared" ca="1" si="60"/>
        <v>0.62430555555555467</v>
      </c>
      <c r="Q118" s="122" t="str">
        <f t="shared" ca="1" si="61"/>
        <v/>
      </c>
      <c r="R118" s="122">
        <f t="shared" ca="1" si="62"/>
        <v>0.6083333333333325</v>
      </c>
      <c r="S118" s="122" t="str">
        <f t="shared" ca="1" si="63"/>
        <v/>
      </c>
      <c r="T118" s="122">
        <f t="shared" ca="1" si="64"/>
        <v>0.59861111111111032</v>
      </c>
      <c r="U118" s="122">
        <f t="shared" ca="1" si="65"/>
        <v>0</v>
      </c>
      <c r="V118" s="122">
        <f t="shared" ca="1" si="66"/>
        <v>5.5555555555555558E-3</v>
      </c>
      <c r="W118" s="122">
        <f t="shared" ca="1" si="71"/>
        <v>5.5555555555555358E-3</v>
      </c>
      <c r="X118" s="122">
        <f t="shared" ca="1" si="68"/>
        <v>5.5555555555555558E-3</v>
      </c>
      <c r="Y118" s="122">
        <f t="shared" ca="1" si="69"/>
        <v>0.62430555555555467</v>
      </c>
      <c r="Z118" s="115">
        <f t="shared" ca="1" si="70"/>
        <v>0</v>
      </c>
    </row>
    <row r="119" spans="1:26" x14ac:dyDescent="0.35">
      <c r="A119" s="115">
        <f t="shared" ca="1" si="49"/>
        <v>100</v>
      </c>
      <c r="B119" s="115">
        <f t="shared" ca="1" si="46"/>
        <v>3</v>
      </c>
      <c r="C119" s="122">
        <f t="shared" ca="1" si="50"/>
        <v>2.0833333333333333E-3</v>
      </c>
      <c r="D119" s="115">
        <f t="shared" ca="1" si="47"/>
        <v>8</v>
      </c>
      <c r="E119" s="122">
        <f t="shared" ca="1" si="51"/>
        <v>5.5555555555555558E-3</v>
      </c>
      <c r="F119" s="122">
        <f t="shared" ca="1" si="52"/>
        <v>0.62083333333333246</v>
      </c>
      <c r="G119" s="122">
        <f t="shared" ca="1" si="53"/>
        <v>0</v>
      </c>
      <c r="H119" s="115" t="str">
        <f t="shared" ca="1" si="54"/>
        <v/>
      </c>
      <c r="I119" s="122" t="str">
        <f t="shared" ca="1" si="55"/>
        <v/>
      </c>
      <c r="J119" s="122">
        <f ca="1">IF(ISTEXT($F119),"",MAX($P$19:P118,$F119))</f>
        <v>0.62430555555555467</v>
      </c>
      <c r="K119" s="122">
        <f ca="1">IF(ISTEXT($F119),"",MAX($R$19:R118,$F119))</f>
        <v>0.62083333333333246</v>
      </c>
      <c r="L119" s="122">
        <f t="shared" ca="1" si="56"/>
        <v>0.62083333333333246</v>
      </c>
      <c r="M119" s="122">
        <f t="shared" ca="1" si="57"/>
        <v>0.62083333333333246</v>
      </c>
      <c r="N119" s="115">
        <f t="shared" ca="1" si="58"/>
        <v>2</v>
      </c>
      <c r="O119" s="122" t="str">
        <f t="shared" ca="1" si="59"/>
        <v/>
      </c>
      <c r="P119" s="122">
        <f t="shared" ca="1" si="60"/>
        <v>0.62430555555555467</v>
      </c>
      <c r="Q119" s="122">
        <f t="shared" ca="1" si="61"/>
        <v>0.62083333333333246</v>
      </c>
      <c r="R119" s="122">
        <f t="shared" ca="1" si="62"/>
        <v>0.626388888888888</v>
      </c>
      <c r="S119" s="122" t="str">
        <f t="shared" ca="1" si="63"/>
        <v/>
      </c>
      <c r="T119" s="122">
        <f t="shared" ca="1" si="64"/>
        <v>0.59861111111111032</v>
      </c>
      <c r="U119" s="122">
        <f t="shared" ca="1" si="65"/>
        <v>0</v>
      </c>
      <c r="V119" s="122">
        <f t="shared" ca="1" si="66"/>
        <v>5.5555555555555558E-3</v>
      </c>
      <c r="W119" s="122">
        <f t="shared" ca="1" si="71"/>
        <v>5.5555555555555358E-3</v>
      </c>
      <c r="X119" s="122">
        <f t="shared" ca="1" si="68"/>
        <v>5.5555555555555558E-3</v>
      </c>
      <c r="Y119" s="122">
        <f t="shared" ca="1" si="69"/>
        <v>0.626388888888888</v>
      </c>
      <c r="Z119" s="115">
        <f ca="1">COUNTIF($M$19:$M$19,"&gt;"&amp;$F119)</f>
        <v>0</v>
      </c>
    </row>
    <row r="120" spans="1:26" x14ac:dyDescent="0.35">
      <c r="A120" s="115"/>
      <c r="B120" s="115"/>
      <c r="C120" s="122"/>
      <c r="D120" s="115"/>
      <c r="E120" s="122"/>
      <c r="F120" s="122"/>
      <c r="G120" s="122"/>
      <c r="H120" s="115"/>
      <c r="I120" s="122"/>
      <c r="J120" s="122"/>
      <c r="K120" s="122"/>
      <c r="L120" s="122"/>
      <c r="M120" s="122"/>
      <c r="N120" s="115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15"/>
    </row>
  </sheetData>
  <mergeCells count="38">
    <mergeCell ref="Y14:Y17"/>
    <mergeCell ref="Z14:Z17"/>
    <mergeCell ref="O14:P15"/>
    <mergeCell ref="Q14:R15"/>
    <mergeCell ref="S14:T15"/>
    <mergeCell ref="O16:O17"/>
    <mergeCell ref="P16:P17"/>
    <mergeCell ref="Q16:Q17"/>
    <mergeCell ref="R16:R17"/>
    <mergeCell ref="S16:S17"/>
    <mergeCell ref="X14:X17"/>
    <mergeCell ref="M14:M17"/>
    <mergeCell ref="N14:N17"/>
    <mergeCell ref="U14:U17"/>
    <mergeCell ref="V14:V17"/>
    <mergeCell ref="W14:W17"/>
    <mergeCell ref="T16:T17"/>
    <mergeCell ref="L14:L17"/>
    <mergeCell ref="G6:G8"/>
    <mergeCell ref="H6:H8"/>
    <mergeCell ref="I6:I8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E2:G2"/>
    <mergeCell ref="A6:A8"/>
    <mergeCell ref="B6:B8"/>
    <mergeCell ref="C6:C8"/>
    <mergeCell ref="D6:D8"/>
    <mergeCell ref="F6:F8"/>
  </mergeCells>
  <conditionalFormatting sqref="A20:A120">
    <cfRule type="containsText" dxfId="9" priority="14" operator="containsText" text="Закрыто">
      <formula>NOT(ISERROR(SEARCH("Закрыто",A20)))</formula>
    </cfRule>
  </conditionalFormatting>
  <conditionalFormatting sqref="B20:B120">
    <cfRule type="colorScale" priority="5">
      <colorScale>
        <cfvo type="min"/>
        <cfvo type="max"/>
        <color theme="6" tint="0.59999389629810485"/>
        <color theme="5" tint="0.59999389629810485"/>
      </colorScale>
    </cfRule>
  </conditionalFormatting>
  <conditionalFormatting sqref="D20:D120">
    <cfRule type="colorScale" priority="4">
      <colorScale>
        <cfvo type="min"/>
        <cfvo type="max"/>
        <color theme="6" tint="0.59999389629810485"/>
        <color theme="5" tint="0.59999389629810485"/>
      </colorScale>
    </cfRule>
  </conditionalFormatting>
  <conditionalFormatting sqref="F20:F120">
    <cfRule type="containsText" dxfId="8" priority="13" operator="containsText" text="Закрыто">
      <formula>NOT(ISERROR(SEARCH("Закрыто",F20)))</formula>
    </cfRule>
  </conditionalFormatting>
  <conditionalFormatting sqref="F20:G120">
    <cfRule type="containsBlanks" dxfId="7" priority="19">
      <formula>LEN(TRIM(F20))=0</formula>
    </cfRule>
  </conditionalFormatting>
  <conditionalFormatting sqref="H20:H120">
    <cfRule type="containsText" dxfId="6" priority="15" operator="containsText" text="Ушел">
      <formula>NOT(ISERROR(SEARCH("Ушел",H20)))</formula>
    </cfRule>
  </conditionalFormatting>
  <conditionalFormatting sqref="I20:I120">
    <cfRule type="notContainsBlanks" dxfId="5" priority="18">
      <formula>LEN(TRIM(I20))&gt;0</formula>
    </cfRule>
  </conditionalFormatting>
  <conditionalFormatting sqref="J20:N120">
    <cfRule type="containsBlanks" dxfId="4" priority="17">
      <formula>LEN(TRIM(J20))=0</formula>
    </cfRule>
  </conditionalFormatting>
  <conditionalFormatting sqref="N20:N120">
    <cfRule type="colorScale" priority="8">
      <colorScale>
        <cfvo type="min"/>
        <cfvo type="max"/>
        <color theme="7" tint="0.79998168889431442"/>
        <color theme="7" tint="0.39997558519241921"/>
      </colorScale>
    </cfRule>
  </conditionalFormatting>
  <conditionalFormatting sqref="O20:O120">
    <cfRule type="notContainsBlanks" dxfId="3" priority="12">
      <formula>LEN(TRIM(O20))&gt;0</formula>
    </cfRule>
  </conditionalFormatting>
  <conditionalFormatting sqref="Q20:Q120">
    <cfRule type="notContainsBlanks" dxfId="2" priority="11">
      <formula>LEN(TRIM(Q20))&gt;0</formula>
    </cfRule>
  </conditionalFormatting>
  <conditionalFormatting sqref="S20:S120">
    <cfRule type="notContainsBlanks" dxfId="1" priority="10">
      <formula>LEN(TRIM(S20))&gt;0</formula>
    </cfRule>
  </conditionalFormatting>
  <conditionalFormatting sqref="U20:Y120">
    <cfRule type="containsBlanks" dxfId="0" priority="21">
      <formula>LEN(TRIM(U20))=0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CAF6-F457-4A77-9005-FD8D8E87FA8A}">
  <dimension ref="A1:Z75"/>
  <sheetViews>
    <sheetView tabSelected="1" topLeftCell="A34" zoomScale="56" zoomScaleNormal="130" workbookViewId="0">
      <selection activeCell="H86" sqref="H86"/>
    </sheetView>
  </sheetViews>
  <sheetFormatPr defaultRowHeight="14.5" x14ac:dyDescent="0.35"/>
  <cols>
    <col min="1" max="1" width="16.36328125" customWidth="1"/>
    <col min="2" max="2" width="33.7265625" customWidth="1"/>
    <col min="3" max="3" width="27.26953125" customWidth="1"/>
    <col min="4" max="4" width="42.54296875" customWidth="1"/>
    <col min="5" max="7" width="37.54296875" customWidth="1"/>
    <col min="8" max="8" width="29.1796875" customWidth="1"/>
    <col min="9" max="9" width="34.1796875" customWidth="1"/>
    <col min="16" max="16" width="25.54296875" customWidth="1"/>
    <col min="17" max="17" width="13" customWidth="1"/>
    <col min="20" max="20" width="27" customWidth="1"/>
    <col min="21" max="21" width="16.36328125" customWidth="1"/>
    <col min="23" max="23" width="12" customWidth="1"/>
  </cols>
  <sheetData>
    <row r="1" spans="1:9" ht="22.75" customHeight="1" x14ac:dyDescent="0.35">
      <c r="B1" t="s">
        <v>243</v>
      </c>
    </row>
    <row r="2" spans="1:9" x14ac:dyDescent="0.35">
      <c r="B2" s="118" t="s">
        <v>244</v>
      </c>
      <c r="C2" s="120">
        <v>20</v>
      </c>
    </row>
    <row r="3" spans="1:9" ht="29" x14ac:dyDescent="0.35">
      <c r="A3" s="151" t="s">
        <v>245</v>
      </c>
      <c r="B3" s="151" t="s">
        <v>205</v>
      </c>
      <c r="C3" s="151" t="s">
        <v>206</v>
      </c>
      <c r="D3" s="151" t="s">
        <v>246</v>
      </c>
      <c r="E3" s="151" t="s">
        <v>247</v>
      </c>
      <c r="F3" s="151" t="s">
        <v>248</v>
      </c>
      <c r="G3" s="151" t="s">
        <v>249</v>
      </c>
      <c r="H3" s="151" t="s">
        <v>250</v>
      </c>
      <c r="I3" s="151" t="s">
        <v>251</v>
      </c>
    </row>
    <row r="4" spans="1:9" x14ac:dyDescent="0.35">
      <c r="A4" s="120">
        <v>1</v>
      </c>
      <c r="B4" s="119">
        <f t="shared" ref="B4:B23" ca="1" si="0">IF(RUNC=A4,ALT,B4)</f>
        <v>4.499999999999984E-3</v>
      </c>
      <c r="C4" s="119">
        <f t="shared" ref="C4:C23" ca="1" si="1">IF(RUNC=A4,AST,C4)</f>
        <v>4.402777777777772E-3</v>
      </c>
      <c r="D4" s="120">
        <f ca="1">IF(RUNC=A4,NLC,D4)</f>
        <v>7</v>
      </c>
      <c r="E4" s="137">
        <f t="shared" ref="E4:E23" ca="1" si="2">IF(RUNC=A4,E1F,E4)</f>
        <v>0.50185185185185177</v>
      </c>
      <c r="F4" s="137">
        <f t="shared" ref="F4:F23" ca="1" si="3">IF(RUNC=A4,E2F,F4)</f>
        <v>0.58703703703703702</v>
      </c>
      <c r="G4" s="137">
        <f t="shared" ref="G4:G23" ca="1" si="4">IF(RUNC=A4,E3F,G4)</f>
        <v>0.73703703703703716</v>
      </c>
      <c r="H4" s="120">
        <f t="shared" ref="H4:H23" ca="1" si="5">IF(RUNC=A4,MXQ,H4)</f>
        <v>0</v>
      </c>
      <c r="I4" s="119">
        <f ca="1">IF(RUNC=A4,MAX(модель!$O$119:$T$119)-[0]!start,I4)</f>
        <v>0.25902777777777686</v>
      </c>
    </row>
    <row r="5" spans="1:9" x14ac:dyDescent="0.35">
      <c r="A5" s="120">
        <v>2</v>
      </c>
      <c r="B5" s="119">
        <f t="shared" ca="1" si="0"/>
        <v>4.2083333333333183E-3</v>
      </c>
      <c r="C5" s="119">
        <f t="shared" ca="1" si="1"/>
        <v>4.0694444444444398E-3</v>
      </c>
      <c r="D5" s="120">
        <f ca="1">IF(RUNC=A5,NLC,D5)</f>
        <v>10</v>
      </c>
      <c r="E5" s="137">
        <f t="shared" ca="1" si="2"/>
        <v>0.51481481481481484</v>
      </c>
      <c r="F5" s="137">
        <f t="shared" ca="1" si="3"/>
        <v>0.64074074074074083</v>
      </c>
      <c r="G5" s="137">
        <f t="shared" ca="1" si="4"/>
        <v>0.7592592592592593</v>
      </c>
      <c r="H5" s="120">
        <f t="shared" ca="1" si="5"/>
        <v>0</v>
      </c>
      <c r="I5" s="119">
        <f ca="1">IF(RUNC=A5,MAX(модель!$O$119:$T$119)-[0]!start,I5)</f>
        <v>0.24027777777777692</v>
      </c>
    </row>
    <row r="6" spans="1:9" x14ac:dyDescent="0.35">
      <c r="A6" s="120">
        <v>3</v>
      </c>
      <c r="B6" s="119">
        <f t="shared" ca="1" si="0"/>
        <v>4.2777777777777623E-3</v>
      </c>
      <c r="C6" s="119">
        <f t="shared" ca="1" si="1"/>
        <v>4.1111111111111062E-3</v>
      </c>
      <c r="D6" s="120">
        <f ca="1">IF(RUNC=A6,NLC,D6)</f>
        <v>12</v>
      </c>
      <c r="E6" s="137">
        <f t="shared" ca="1" si="2"/>
        <v>0.54629629629629628</v>
      </c>
      <c r="F6" s="137">
        <f t="shared" ca="1" si="3"/>
        <v>0.63148148148148153</v>
      </c>
      <c r="G6" s="137">
        <f t="shared" ca="1" si="4"/>
        <v>0.72592592592592609</v>
      </c>
      <c r="H6" s="120">
        <f t="shared" ca="1" si="5"/>
        <v>0</v>
      </c>
      <c r="I6" s="119">
        <f ca="1">IF(RUNC=A6,MAX(модель!$O$119:$T$119)-[0]!start,I6)</f>
        <v>0.22916666666666585</v>
      </c>
    </row>
    <row r="7" spans="1:9" x14ac:dyDescent="0.35">
      <c r="A7" s="120">
        <v>4</v>
      </c>
      <c r="B7" s="119">
        <f t="shared" ca="1" si="0"/>
        <v>4.0763888888888742E-3</v>
      </c>
      <c r="C7" s="119">
        <f t="shared" ca="1" si="1"/>
        <v>3.9930555555555518E-3</v>
      </c>
      <c r="D7" s="120">
        <f t="shared" ref="D7:D23" ca="1" si="6">IF(RUNC=A7,NLC,D7)</f>
        <v>6</v>
      </c>
      <c r="E7" s="137">
        <f t="shared" ca="1" si="2"/>
        <v>0.47962962962962974</v>
      </c>
      <c r="F7" s="137">
        <f t="shared" ca="1" si="3"/>
        <v>0.65925925925925921</v>
      </c>
      <c r="G7" s="137">
        <f t="shared" ca="1" si="4"/>
        <v>0.79629629629629628</v>
      </c>
      <c r="H7" s="120">
        <f t="shared" ca="1" si="5"/>
        <v>0</v>
      </c>
      <c r="I7" s="119">
        <f ca="1">IF(RUNC=A7,MAX(модель!$O$119:$T$119)-[0]!start,I7)</f>
        <v>0.27361111111111014</v>
      </c>
    </row>
    <row r="8" spans="1:9" x14ac:dyDescent="0.35">
      <c r="A8" s="120">
        <v>5</v>
      </c>
      <c r="B8" s="119">
        <f t="shared" ca="1" si="0"/>
        <v>4.4166666666666512E-3</v>
      </c>
      <c r="C8" s="119">
        <f t="shared" ca="1" si="1"/>
        <v>4.3472222222222167E-3</v>
      </c>
      <c r="D8" s="120">
        <f t="shared" ca="1" si="6"/>
        <v>5</v>
      </c>
      <c r="E8" s="137">
        <f t="shared" ca="1" si="2"/>
        <v>0.52222222222222214</v>
      </c>
      <c r="F8" s="137">
        <f t="shared" ca="1" si="3"/>
        <v>0.59074074074074079</v>
      </c>
      <c r="G8" s="137">
        <f t="shared" ca="1" si="4"/>
        <v>0.72777777777777786</v>
      </c>
      <c r="H8" s="120">
        <f t="shared" ca="1" si="5"/>
        <v>0</v>
      </c>
      <c r="I8" s="119">
        <f ca="1">IF(RUNC=A8,MAX(модель!$O$119:$T$119)-[0]!start,I8)</f>
        <v>0.26180555555555463</v>
      </c>
    </row>
    <row r="9" spans="1:9" x14ac:dyDescent="0.35">
      <c r="A9" s="120">
        <v>6</v>
      </c>
      <c r="B9" s="119">
        <f t="shared" ca="1" si="0"/>
        <v>4.1319444444444294E-3</v>
      </c>
      <c r="C9" s="119">
        <f t="shared" ca="1" si="1"/>
        <v>4.0763888888888846E-3</v>
      </c>
      <c r="D9" s="120">
        <f t="shared" ca="1" si="6"/>
        <v>4</v>
      </c>
      <c r="E9" s="137">
        <f t="shared" ca="1" si="2"/>
        <v>0.53333333333333299</v>
      </c>
      <c r="F9" s="137">
        <f t="shared" ca="1" si="3"/>
        <v>0.64814814814814814</v>
      </c>
      <c r="G9" s="137">
        <f t="shared" ca="1" si="4"/>
        <v>0.73148148148148162</v>
      </c>
      <c r="H9" s="120">
        <f t="shared" ca="1" si="5"/>
        <v>0</v>
      </c>
      <c r="I9" s="119">
        <f ca="1">IF(RUNC=A9,MAX(модель!$O$119:$T$119)-[0]!start,I9)</f>
        <v>0.2680555555555546</v>
      </c>
    </row>
    <row r="10" spans="1:9" x14ac:dyDescent="0.35">
      <c r="A10" s="120">
        <v>7</v>
      </c>
      <c r="B10" s="119">
        <f t="shared" ca="1" si="0"/>
        <v>3.9027777777777637E-3</v>
      </c>
      <c r="C10" s="119">
        <f t="shared" ca="1" si="1"/>
        <v>3.8055555555555507E-3</v>
      </c>
      <c r="D10" s="120">
        <f t="shared" ca="1" si="6"/>
        <v>7</v>
      </c>
      <c r="E10" s="137">
        <f t="shared" ca="1" si="2"/>
        <v>0.55370370370370359</v>
      </c>
      <c r="F10" s="137">
        <f t="shared" ca="1" si="3"/>
        <v>0.6351851851851853</v>
      </c>
      <c r="G10" s="137">
        <f t="shared" ca="1" si="4"/>
        <v>0.79629629629629628</v>
      </c>
      <c r="H10" s="120">
        <f t="shared" ca="1" si="5"/>
        <v>0</v>
      </c>
      <c r="I10" s="119">
        <f ca="1">IF(RUNC=A10,MAX(модель!$O$119:$T$119)-[0]!start,I10)</f>
        <v>0.26180555555555463</v>
      </c>
    </row>
    <row r="11" spans="1:9" x14ac:dyDescent="0.35">
      <c r="A11" s="120">
        <v>8</v>
      </c>
      <c r="B11" s="119">
        <f t="shared" ca="1" si="0"/>
        <v>4.2083333333333183E-3</v>
      </c>
      <c r="C11" s="119">
        <f t="shared" ca="1" si="1"/>
        <v>4.0972222222222174E-3</v>
      </c>
      <c r="D11" s="120">
        <f t="shared" ca="1" si="6"/>
        <v>8</v>
      </c>
      <c r="E11" s="137">
        <f t="shared" ca="1" si="2"/>
        <v>0.51296296296296306</v>
      </c>
      <c r="F11" s="137">
        <f t="shared" ca="1" si="3"/>
        <v>0.6333333333333333</v>
      </c>
      <c r="G11" s="137">
        <f t="shared" ca="1" si="4"/>
        <v>0.76111111111111118</v>
      </c>
      <c r="H11" s="120">
        <f t="shared" ca="1" si="5"/>
        <v>0</v>
      </c>
      <c r="I11" s="119">
        <f ca="1">IF(RUNC=A11,MAX(модель!$O$119:$T$119)-[0]!start,I11)</f>
        <v>0.23263888888888806</v>
      </c>
    </row>
    <row r="12" spans="1:9" x14ac:dyDescent="0.35">
      <c r="A12" s="120">
        <v>9</v>
      </c>
      <c r="B12" s="119">
        <f t="shared" ca="1" si="0"/>
        <v>4.3819444444444288E-3</v>
      </c>
      <c r="C12" s="119">
        <f t="shared" ca="1" si="1"/>
        <v>4.2847222222222167E-3</v>
      </c>
      <c r="D12" s="120">
        <f t="shared" ca="1" si="6"/>
        <v>7</v>
      </c>
      <c r="E12" s="137">
        <f t="shared" ca="1" si="2"/>
        <v>0.47592592592592586</v>
      </c>
      <c r="F12" s="137">
        <f t="shared" ca="1" si="3"/>
        <v>0.6166666666666667</v>
      </c>
      <c r="G12" s="137">
        <f t="shared" ca="1" si="4"/>
        <v>0.76481481481481484</v>
      </c>
      <c r="H12" s="120">
        <f t="shared" ca="1" si="5"/>
        <v>0</v>
      </c>
      <c r="I12" s="119">
        <f ca="1">IF(RUNC=A12,MAX(модель!$O$119:$T$119)-[0]!start,I12)</f>
        <v>0.27638888888888791</v>
      </c>
    </row>
    <row r="13" spans="1:9" x14ac:dyDescent="0.35">
      <c r="A13" s="120">
        <v>10</v>
      </c>
      <c r="B13" s="119">
        <f t="shared" ca="1" si="0"/>
        <v>4.2986111111110959E-3</v>
      </c>
      <c r="C13" s="119">
        <f t="shared" ca="1" si="1"/>
        <v>4.1597222222222166E-3</v>
      </c>
      <c r="D13" s="120">
        <f t="shared" ca="1" si="6"/>
        <v>10</v>
      </c>
      <c r="E13" s="137">
        <f t="shared" ca="1" si="2"/>
        <v>0.49999999999999989</v>
      </c>
      <c r="F13" s="137">
        <f t="shared" ca="1" si="3"/>
        <v>0.67037037037037039</v>
      </c>
      <c r="G13" s="137">
        <f t="shared" ca="1" si="4"/>
        <v>0.72037037037037044</v>
      </c>
      <c r="H13" s="120">
        <f t="shared" ca="1" si="5"/>
        <v>0</v>
      </c>
      <c r="I13" s="119">
        <f ca="1">IF(RUNC=A13,MAX(модель!$O$119:$T$119)-[0]!start,I13)</f>
        <v>0.24236111111111025</v>
      </c>
    </row>
    <row r="14" spans="1:9" x14ac:dyDescent="0.35">
      <c r="A14" s="120">
        <v>11</v>
      </c>
      <c r="B14" s="119">
        <f t="shared" ca="1" si="0"/>
        <v>4.3333333333333175E-3</v>
      </c>
      <c r="C14" s="119">
        <f t="shared" ca="1" si="1"/>
        <v>4.2083333333333278E-3</v>
      </c>
      <c r="D14" s="120">
        <f t="shared" ca="1" si="6"/>
        <v>9</v>
      </c>
      <c r="E14" s="137">
        <f t="shared" ca="1" si="2"/>
        <v>0.51666666666666661</v>
      </c>
      <c r="F14" s="137">
        <f t="shared" ca="1" si="3"/>
        <v>0.6333333333333333</v>
      </c>
      <c r="G14" s="137">
        <f t="shared" ca="1" si="4"/>
        <v>0.72777777777777786</v>
      </c>
      <c r="H14" s="120">
        <f t="shared" ca="1" si="5"/>
        <v>0</v>
      </c>
      <c r="I14" s="119">
        <f ca="1">IF(RUNC=A14,MAX(модель!$O$119:$T$119)-[0]!start,I14)</f>
        <v>0.2249999999999992</v>
      </c>
    </row>
    <row r="15" spans="1:9" x14ac:dyDescent="0.35">
      <c r="A15" s="120">
        <v>12</v>
      </c>
      <c r="B15" s="119">
        <f t="shared" ca="1" si="0"/>
        <v>4.1805555555555407E-3</v>
      </c>
      <c r="C15" s="119">
        <f t="shared" ca="1" si="1"/>
        <v>4.1388888888888829E-3</v>
      </c>
      <c r="D15" s="120">
        <f t="shared" ca="1" si="6"/>
        <v>3</v>
      </c>
      <c r="E15" s="137">
        <f t="shared" ca="1" si="2"/>
        <v>0.46666666666666645</v>
      </c>
      <c r="F15" s="137">
        <f t="shared" ca="1" si="3"/>
        <v>0.65925925925925943</v>
      </c>
      <c r="G15" s="137">
        <f t="shared" ca="1" si="4"/>
        <v>0.77037037037037037</v>
      </c>
      <c r="H15" s="120">
        <f t="shared" ca="1" si="5"/>
        <v>0</v>
      </c>
      <c r="I15" s="119">
        <f ca="1">IF(RUNC=A15,MAX(модель!$O$119:$T$119)-[0]!start,I15)</f>
        <v>0.26944444444444349</v>
      </c>
    </row>
    <row r="16" spans="1:9" x14ac:dyDescent="0.35">
      <c r="A16" s="120">
        <v>13</v>
      </c>
      <c r="B16" s="119">
        <f t="shared" ca="1" si="0"/>
        <v>4.1111111111110966E-3</v>
      </c>
      <c r="C16" s="119">
        <f t="shared" ca="1" si="1"/>
        <v>4.0555555555555501E-3</v>
      </c>
      <c r="D16" s="120">
        <f t="shared" ca="1" si="6"/>
        <v>4</v>
      </c>
      <c r="E16" s="137">
        <f t="shared" ca="1" si="2"/>
        <v>0.49444444444444435</v>
      </c>
      <c r="F16" s="137">
        <f t="shared" ca="1" si="3"/>
        <v>0.63148148148148153</v>
      </c>
      <c r="G16" s="137">
        <f t="shared" ca="1" si="4"/>
        <v>0.79259259259259263</v>
      </c>
      <c r="H16" s="120">
        <f t="shared" ca="1" si="5"/>
        <v>0</v>
      </c>
      <c r="I16" s="119">
        <f ca="1">IF(RUNC=A16,MAX(модель!$O$119:$T$119)-[0]!start,I16)</f>
        <v>0.2597222222222213</v>
      </c>
    </row>
    <row r="17" spans="1:26" x14ac:dyDescent="0.35">
      <c r="A17" s="120">
        <v>14</v>
      </c>
      <c r="B17" s="119">
        <f t="shared" ca="1" si="0"/>
        <v>3.8888888888888749E-3</v>
      </c>
      <c r="C17" s="119">
        <f t="shared" ca="1" si="1"/>
        <v>3.7638888888888848E-3</v>
      </c>
      <c r="D17" s="120">
        <f t="shared" ca="1" si="6"/>
        <v>9</v>
      </c>
      <c r="E17" s="137">
        <f t="shared" ca="1" si="2"/>
        <v>0.58518518518518525</v>
      </c>
      <c r="F17" s="137">
        <f t="shared" ca="1" si="3"/>
        <v>0.62962962962962976</v>
      </c>
      <c r="G17" s="137">
        <f t="shared" ca="1" si="4"/>
        <v>0.78148148148148155</v>
      </c>
      <c r="H17" s="120">
        <f t="shared" ca="1" si="5"/>
        <v>0</v>
      </c>
      <c r="I17" s="119">
        <f ca="1">IF(RUNC=A17,MAX(модель!$O$119:$T$119)-[0]!start,I17)</f>
        <v>0.22152777777777699</v>
      </c>
    </row>
    <row r="18" spans="1:26" x14ac:dyDescent="0.35">
      <c r="A18" s="120">
        <v>15</v>
      </c>
      <c r="B18" s="119">
        <f t="shared" ca="1" si="0"/>
        <v>4.3263888888888736E-3</v>
      </c>
      <c r="C18" s="119">
        <f t="shared" ca="1" si="1"/>
        <v>4.2569444444444391E-3</v>
      </c>
      <c r="D18" s="120">
        <f t="shared" ca="1" si="6"/>
        <v>5</v>
      </c>
      <c r="E18" s="137">
        <f t="shared" ca="1" si="2"/>
        <v>0.49629629629629624</v>
      </c>
      <c r="F18" s="137">
        <f t="shared" ca="1" si="3"/>
        <v>0.63148148148148153</v>
      </c>
      <c r="G18" s="137">
        <f t="shared" ca="1" si="4"/>
        <v>0.73703703703703716</v>
      </c>
      <c r="H18" s="120">
        <f t="shared" ca="1" si="5"/>
        <v>0</v>
      </c>
      <c r="I18" s="119">
        <f ca="1">IF(RUNC=A18,MAX(модель!$O$119:$T$119)-[0]!start,I18)</f>
        <v>0.25902777777777686</v>
      </c>
    </row>
    <row r="19" spans="1:26" x14ac:dyDescent="0.35">
      <c r="A19" s="120">
        <v>16</v>
      </c>
      <c r="B19" s="119">
        <f t="shared" ca="1" si="0"/>
        <v>4.2083333333333183E-3</v>
      </c>
      <c r="C19" s="119">
        <f t="shared" ca="1" si="1"/>
        <v>4.0972222222222174E-3</v>
      </c>
      <c r="D19" s="120">
        <f t="shared" ca="1" si="6"/>
        <v>8</v>
      </c>
      <c r="E19" s="137">
        <f t="shared" ca="1" si="2"/>
        <v>0.47777777777777775</v>
      </c>
      <c r="F19" s="137">
        <f t="shared" ca="1" si="3"/>
        <v>0.63888888888888884</v>
      </c>
      <c r="G19" s="137">
        <f t="shared" ca="1" si="4"/>
        <v>0.79074074074074074</v>
      </c>
      <c r="H19" s="120">
        <f t="shared" ca="1" si="5"/>
        <v>0</v>
      </c>
      <c r="I19" s="119">
        <f ca="1">IF(RUNC=A19,MAX(модель!$O$119:$T$119)-[0]!start,I19)</f>
        <v>0.2895833333333323</v>
      </c>
    </row>
    <row r="20" spans="1:26" x14ac:dyDescent="0.35">
      <c r="A20" s="120">
        <v>17</v>
      </c>
      <c r="B20" s="119">
        <f t="shared" ca="1" si="0"/>
        <v>4.2361111111110959E-3</v>
      </c>
      <c r="C20" s="119">
        <f t="shared" ca="1" si="1"/>
        <v>4.1805555555555502E-3</v>
      </c>
      <c r="D20" s="120">
        <f t="shared" ca="1" si="6"/>
        <v>4</v>
      </c>
      <c r="E20" s="137">
        <f t="shared" ca="1" si="2"/>
        <v>0.48333333333333317</v>
      </c>
      <c r="F20" s="137">
        <f t="shared" ca="1" si="3"/>
        <v>0.62222222222222223</v>
      </c>
      <c r="G20" s="137">
        <f t="shared" ca="1" si="4"/>
        <v>0.77962962962962967</v>
      </c>
      <c r="H20" s="120">
        <f t="shared" ca="1" si="5"/>
        <v>0</v>
      </c>
      <c r="I20" s="119">
        <f ca="1">IF(RUNC=A20,MAX(модель!$O$119:$T$119)-[0]!start,I20)</f>
        <v>0.25486111111111021</v>
      </c>
    </row>
    <row r="21" spans="1:26" x14ac:dyDescent="0.35">
      <c r="A21" s="120">
        <v>18</v>
      </c>
      <c r="B21" s="119">
        <f t="shared" ca="1" si="0"/>
        <v>4.3472222222222072E-3</v>
      </c>
      <c r="C21" s="119">
        <f t="shared" ca="1" si="1"/>
        <v>4.2361111111111054E-3</v>
      </c>
      <c r="D21" s="120">
        <f t="shared" ca="1" si="6"/>
        <v>8</v>
      </c>
      <c r="E21" s="137">
        <f t="shared" ca="1" si="2"/>
        <v>0.47592592592592597</v>
      </c>
      <c r="F21" s="137">
        <f t="shared" ca="1" si="3"/>
        <v>0.5981481481481481</v>
      </c>
      <c r="G21" s="137">
        <f t="shared" ca="1" si="4"/>
        <v>0.79629629629629628</v>
      </c>
      <c r="H21" s="120">
        <f t="shared" ca="1" si="5"/>
        <v>0</v>
      </c>
      <c r="I21" s="119">
        <f ca="1">IF(RUNC=A21,MAX(модель!$O$119:$T$119)-[0]!start,I21)</f>
        <v>0.26319444444444351</v>
      </c>
    </row>
    <row r="22" spans="1:26" x14ac:dyDescent="0.35">
      <c r="A22" s="120">
        <v>19</v>
      </c>
      <c r="B22" s="119">
        <f t="shared" ca="1" si="0"/>
        <v>4.5833333333333169E-3</v>
      </c>
      <c r="C22" s="119">
        <f t="shared" ca="1" si="1"/>
        <v>4.5416666666666609E-3</v>
      </c>
      <c r="D22" s="120">
        <f t="shared" ca="1" si="6"/>
        <v>3</v>
      </c>
      <c r="E22" s="137">
        <f t="shared" ca="1" si="2"/>
        <v>0.48518518518518516</v>
      </c>
      <c r="F22" s="137">
        <f t="shared" ca="1" si="3"/>
        <v>0.54629629629629628</v>
      </c>
      <c r="G22" s="137">
        <f t="shared" ca="1" si="4"/>
        <v>0.75740740740740742</v>
      </c>
      <c r="H22" s="120">
        <f t="shared" ca="1" si="5"/>
        <v>0</v>
      </c>
      <c r="I22" s="119">
        <f ca="1">IF(RUNC=A22,MAX(модель!$O$119:$T$119)-[0]!start,I22)</f>
        <v>0.26319444444444351</v>
      </c>
    </row>
    <row r="23" spans="1:26" x14ac:dyDescent="0.35">
      <c r="A23" s="120">
        <v>20</v>
      </c>
      <c r="B23" s="119">
        <f t="shared" ca="1" si="0"/>
        <v>4.3749999999999848E-3</v>
      </c>
      <c r="C23" s="119">
        <f t="shared" ca="1" si="1"/>
        <v>4.2916666666666615E-3</v>
      </c>
      <c r="D23" s="120">
        <f t="shared" ca="1" si="6"/>
        <v>6</v>
      </c>
      <c r="E23" s="137">
        <f t="shared" ca="1" si="2"/>
        <v>0.51111111111111107</v>
      </c>
      <c r="F23" s="137">
        <f t="shared" ca="1" si="3"/>
        <v>0.58888888888888902</v>
      </c>
      <c r="G23" s="137">
        <f t="shared" ca="1" si="4"/>
        <v>0.75555555555555565</v>
      </c>
      <c r="H23" s="120">
        <f t="shared" ca="1" si="5"/>
        <v>0</v>
      </c>
      <c r="I23" s="119">
        <f ca="1">IF(RUNC=A23,MAX(модель!$O$119:$T$119)-[0]!start,I23)</f>
        <v>0.251388888888888</v>
      </c>
    </row>
    <row r="24" spans="1:26" x14ac:dyDescent="0.35">
      <c r="M24" s="146"/>
    </row>
    <row r="25" spans="1:26" x14ac:dyDescent="0.35">
      <c r="A25" s="138"/>
      <c r="B25" s="138"/>
      <c r="C25" s="138"/>
      <c r="D25" s="138"/>
      <c r="E25" s="138"/>
      <c r="F25" s="138"/>
      <c r="G25" s="138"/>
      <c r="H25" s="138"/>
      <c r="I25" s="138"/>
      <c r="N25" s="146">
        <f>(Q39-Q38)/7</f>
        <v>8.3333333333333073E-5</v>
      </c>
      <c r="O25" s="146"/>
    </row>
    <row r="26" spans="1:26" ht="29.5" thickBot="1" x14ac:dyDescent="0.4">
      <c r="A26" s="138" t="s">
        <v>245</v>
      </c>
      <c r="B26" s="138" t="s">
        <v>205</v>
      </c>
      <c r="C26" s="138" t="s">
        <v>206</v>
      </c>
      <c r="D26" s="138" t="s">
        <v>246</v>
      </c>
      <c r="E26" s="138" t="s">
        <v>247</v>
      </c>
      <c r="F26" s="138" t="s">
        <v>248</v>
      </c>
      <c r="G26" s="138" t="s">
        <v>249</v>
      </c>
      <c r="H26" s="138" t="s">
        <v>250</v>
      </c>
      <c r="I26" s="138" t="s">
        <v>251</v>
      </c>
    </row>
    <row r="27" spans="1:26" x14ac:dyDescent="0.35">
      <c r="A27" s="120">
        <v>1</v>
      </c>
      <c r="B27" s="119">
        <v>4.1319444444444294E-3</v>
      </c>
      <c r="C27" s="119">
        <v>4.0902777777777734E-3</v>
      </c>
      <c r="D27" s="120">
        <v>3</v>
      </c>
      <c r="E27" s="137">
        <v>0.46851851851851856</v>
      </c>
      <c r="F27" s="137">
        <v>0.64814814814814836</v>
      </c>
      <c r="G27" s="137">
        <v>0.79259259259259263</v>
      </c>
      <c r="H27" s="120">
        <v>0</v>
      </c>
      <c r="I27" s="119">
        <v>0.29166666666666563</v>
      </c>
      <c r="K27" s="146">
        <f>Q38</f>
        <v>3.9722222222222077E-3</v>
      </c>
      <c r="P27" s="231" t="s">
        <v>266</v>
      </c>
      <c r="Q27" s="231"/>
      <c r="T27" s="232" t="s">
        <v>247</v>
      </c>
      <c r="U27" s="232"/>
    </row>
    <row r="28" spans="1:26" x14ac:dyDescent="0.35">
      <c r="A28" s="120">
        <v>2</v>
      </c>
      <c r="B28" s="119">
        <v>4.3402777777777624E-3</v>
      </c>
      <c r="C28" s="119">
        <v>4.2152777777777727E-3</v>
      </c>
      <c r="D28" s="120">
        <v>9</v>
      </c>
      <c r="E28" s="137">
        <v>0.50555555555555554</v>
      </c>
      <c r="F28" s="137">
        <v>0.63333333333333353</v>
      </c>
      <c r="G28" s="137">
        <v>0.73703703703703716</v>
      </c>
      <c r="H28" s="120">
        <v>0</v>
      </c>
      <c r="I28" s="119">
        <v>0.24513888888888802</v>
      </c>
      <c r="K28" s="146">
        <f>K27+$N$25</f>
        <v>4.0555555555555406E-3</v>
      </c>
      <c r="P28" s="141"/>
      <c r="Q28" s="141"/>
      <c r="W28" s="120"/>
      <c r="X28" s="148">
        <v>1</v>
      </c>
      <c r="Y28" s="148">
        <v>2</v>
      </c>
      <c r="Z28" s="148">
        <v>3</v>
      </c>
    </row>
    <row r="29" spans="1:26" x14ac:dyDescent="0.35">
      <c r="A29" s="120">
        <v>3</v>
      </c>
      <c r="B29" s="119">
        <v>4.3263888888888736E-3</v>
      </c>
      <c r="C29" s="119">
        <v>4.1458333333333286E-3</v>
      </c>
      <c r="D29" s="120">
        <v>13</v>
      </c>
      <c r="E29" s="137">
        <v>0.51296296296296306</v>
      </c>
      <c r="F29" s="137">
        <v>0.63333333333333353</v>
      </c>
      <c r="G29" s="137">
        <v>0.74814814814814823</v>
      </c>
      <c r="H29" s="120">
        <v>0</v>
      </c>
      <c r="I29" s="119">
        <v>0.24583333333333246</v>
      </c>
      <c r="K29" s="146">
        <f t="shared" ref="K29:K34" si="7">K28+$N$25</f>
        <v>4.1388888888888734E-3</v>
      </c>
      <c r="P29" s="141" t="s">
        <v>253</v>
      </c>
      <c r="Q29" s="143">
        <v>4.267013888888874E-3</v>
      </c>
      <c r="T29" t="s">
        <v>253</v>
      </c>
      <c r="U29" s="147">
        <v>0.48953703703703699</v>
      </c>
      <c r="W29" s="148" t="s">
        <v>263</v>
      </c>
      <c r="X29" s="120">
        <f>U39</f>
        <v>0.54259259259259252</v>
      </c>
      <c r="Y29" s="120">
        <f>U55</f>
        <v>0.67592592592592604</v>
      </c>
      <c r="Z29" s="120">
        <f>U71</f>
        <v>0.82037037037037042</v>
      </c>
    </row>
    <row r="30" spans="1:26" x14ac:dyDescent="0.35">
      <c r="A30" s="120">
        <v>4</v>
      </c>
      <c r="B30" s="119">
        <v>4.3819444444444288E-3</v>
      </c>
      <c r="C30" s="119">
        <v>4.3124999999999943E-3</v>
      </c>
      <c r="D30" s="120">
        <v>5</v>
      </c>
      <c r="E30" s="137">
        <v>0.46111111111111103</v>
      </c>
      <c r="F30" s="137">
        <v>0.6425925925925926</v>
      </c>
      <c r="G30" s="137">
        <v>0.74629629629629624</v>
      </c>
      <c r="H30" s="120">
        <v>0</v>
      </c>
      <c r="I30" s="119">
        <v>0.30972222222222112</v>
      </c>
      <c r="K30" s="146">
        <f t="shared" si="7"/>
        <v>4.2222222222222062E-3</v>
      </c>
      <c r="P30" s="141" t="s">
        <v>254</v>
      </c>
      <c r="Q30" s="144">
        <v>3.4745880098285177E-5</v>
      </c>
      <c r="T30" t="s">
        <v>254</v>
      </c>
      <c r="U30">
        <v>6.453259358628183E-3</v>
      </c>
      <c r="W30" s="148" t="s">
        <v>262</v>
      </c>
      <c r="X30" s="120">
        <f>U38</f>
        <v>0.42407407407407383</v>
      </c>
      <c r="Y30" s="120">
        <f>U54</f>
        <v>0.59629629629629632</v>
      </c>
      <c r="Z30" s="120">
        <f>U70</f>
        <v>0.72777777777777786</v>
      </c>
    </row>
    <row r="31" spans="1:26" x14ac:dyDescent="0.35">
      <c r="A31" s="120">
        <v>5</v>
      </c>
      <c r="B31" s="119">
        <v>4.2847222222222071E-3</v>
      </c>
      <c r="C31" s="119">
        <v>4.1597222222222166E-3</v>
      </c>
      <c r="D31" s="120">
        <v>9</v>
      </c>
      <c r="E31" s="137">
        <v>0.48518518518518516</v>
      </c>
      <c r="F31" s="137">
        <v>0.67222222222222228</v>
      </c>
      <c r="G31" s="137">
        <v>0.73333333333333339</v>
      </c>
      <c r="H31" s="120">
        <v>0</v>
      </c>
      <c r="I31" s="119">
        <v>0.25347222222222132</v>
      </c>
      <c r="K31" s="146">
        <f t="shared" si="7"/>
        <v>4.305555555555539E-3</v>
      </c>
      <c r="P31" s="141" t="s">
        <v>255</v>
      </c>
      <c r="Q31" s="143">
        <v>4.2743055555555399E-3</v>
      </c>
      <c r="T31" t="s">
        <v>255</v>
      </c>
      <c r="U31" s="147">
        <v>0.49166666666666659</v>
      </c>
      <c r="W31" s="148" t="s">
        <v>253</v>
      </c>
      <c r="X31" s="120">
        <f>U29</f>
        <v>0.48953703703703699</v>
      </c>
      <c r="Y31" s="120">
        <f>U45</f>
        <v>0.63712962962962971</v>
      </c>
      <c r="Z31" s="120">
        <f>U61</f>
        <v>0.76120370370370383</v>
      </c>
    </row>
    <row r="32" spans="1:26" x14ac:dyDescent="0.35">
      <c r="A32" s="120">
        <v>6</v>
      </c>
      <c r="B32" s="119">
        <v>4.1666666666666519E-3</v>
      </c>
      <c r="C32" s="119">
        <v>4.0833333333333277E-3</v>
      </c>
      <c r="D32" s="120">
        <v>6</v>
      </c>
      <c r="E32" s="137">
        <v>0.5185185185185186</v>
      </c>
      <c r="F32" s="137">
        <v>0.65000000000000013</v>
      </c>
      <c r="G32" s="137">
        <v>0.74259259259259269</v>
      </c>
      <c r="H32" s="120">
        <v>0</v>
      </c>
      <c r="I32" s="119">
        <v>0.22916666666666585</v>
      </c>
      <c r="K32" s="146">
        <f t="shared" si="7"/>
        <v>4.3888888888888719E-3</v>
      </c>
      <c r="P32" s="141" t="s">
        <v>256</v>
      </c>
      <c r="Q32" s="143">
        <v>4.3263888888888736E-3</v>
      </c>
      <c r="T32" t="s">
        <v>256</v>
      </c>
      <c r="U32" s="147">
        <v>0.51296296296296306</v>
      </c>
    </row>
    <row r="33" spans="1:21" x14ac:dyDescent="0.35">
      <c r="A33" s="120">
        <v>7</v>
      </c>
      <c r="B33" s="119">
        <v>4.2638888888888735E-3</v>
      </c>
      <c r="C33" s="119">
        <v>4.1111111111111062E-3</v>
      </c>
      <c r="D33" s="120">
        <v>11</v>
      </c>
      <c r="E33" s="137">
        <v>0.5185185185185186</v>
      </c>
      <c r="F33" s="137">
        <v>0.64629629629629637</v>
      </c>
      <c r="G33" s="137">
        <v>0.73888888888888893</v>
      </c>
      <c r="H33" s="120">
        <v>0</v>
      </c>
      <c r="I33" s="119">
        <v>0.22430555555555476</v>
      </c>
      <c r="K33" s="146">
        <f t="shared" si="7"/>
        <v>4.4722222222222047E-3</v>
      </c>
      <c r="P33" s="141" t="s">
        <v>257</v>
      </c>
      <c r="Q33" s="143">
        <v>1.5538829967564547E-4</v>
      </c>
      <c r="T33" t="s">
        <v>257</v>
      </c>
      <c r="U33" s="147">
        <v>2.8859853204658625E-2</v>
      </c>
    </row>
    <row r="34" spans="1:21" x14ac:dyDescent="0.35">
      <c r="A34" s="120">
        <v>8</v>
      </c>
      <c r="B34" s="119">
        <v>4.506944444444428E-3</v>
      </c>
      <c r="C34" s="119">
        <v>4.395833333333328E-3</v>
      </c>
      <c r="D34" s="120">
        <v>8</v>
      </c>
      <c r="E34" s="137">
        <v>0.45555555555555538</v>
      </c>
      <c r="F34" s="137">
        <v>0.61481481481481493</v>
      </c>
      <c r="G34" s="137">
        <v>0.75740740740740753</v>
      </c>
      <c r="H34" s="120">
        <v>0</v>
      </c>
      <c r="I34" s="119">
        <v>0.29027777777777675</v>
      </c>
      <c r="K34" s="146">
        <f t="shared" si="7"/>
        <v>4.5555555555555375E-3</v>
      </c>
      <c r="P34" s="141" t="s">
        <v>258</v>
      </c>
      <c r="Q34" s="144">
        <v>2.4145523676088206E-8</v>
      </c>
      <c r="T34" t="s">
        <v>258</v>
      </c>
      <c r="U34">
        <v>8.3289112699444468E-4</v>
      </c>
    </row>
    <row r="35" spans="1:21" x14ac:dyDescent="0.35">
      <c r="A35" s="120">
        <v>9</v>
      </c>
      <c r="B35" s="119">
        <v>4.1874999999999855E-3</v>
      </c>
      <c r="C35" s="119">
        <v>4.0902777777777725E-3</v>
      </c>
      <c r="D35" s="120">
        <v>7</v>
      </c>
      <c r="E35" s="137">
        <v>0.51666666666666661</v>
      </c>
      <c r="F35" s="137">
        <v>0.6333333333333333</v>
      </c>
      <c r="G35" s="137">
        <v>0.7592592592592593</v>
      </c>
      <c r="H35" s="120">
        <v>0</v>
      </c>
      <c r="I35" s="119">
        <v>0.25416666666666576</v>
      </c>
      <c r="P35" s="141" t="s">
        <v>259</v>
      </c>
      <c r="Q35" s="144">
        <v>-0.13765078277473419</v>
      </c>
      <c r="T35" t="s">
        <v>259</v>
      </c>
      <c r="U35">
        <v>-6.1460261014729234E-2</v>
      </c>
    </row>
    <row r="36" spans="1:21" x14ac:dyDescent="0.35">
      <c r="A36" s="120">
        <v>10</v>
      </c>
      <c r="B36" s="119">
        <v>3.9791666666666526E-3</v>
      </c>
      <c r="C36" s="119">
        <v>3.8124999999999969E-3</v>
      </c>
      <c r="D36" s="120">
        <v>12</v>
      </c>
      <c r="E36" s="137">
        <v>0.51296296296296306</v>
      </c>
      <c r="F36" s="137">
        <v>0.67592592592592604</v>
      </c>
      <c r="G36" s="137">
        <v>0.7944444444444444</v>
      </c>
      <c r="H36" s="120">
        <v>0</v>
      </c>
      <c r="I36" s="119">
        <v>0.2729166666666657</v>
      </c>
      <c r="P36" s="141" t="s">
        <v>260</v>
      </c>
      <c r="Q36" s="144">
        <v>-0.13521243971557678</v>
      </c>
      <c r="T36" t="s">
        <v>260</v>
      </c>
      <c r="U36">
        <v>-0.39394141487482359</v>
      </c>
    </row>
    <row r="37" spans="1:21" x14ac:dyDescent="0.35">
      <c r="A37" s="120">
        <v>11</v>
      </c>
      <c r="B37" s="119">
        <v>4.5555555555555393E-3</v>
      </c>
      <c r="C37" s="119">
        <v>4.472222222222216E-3</v>
      </c>
      <c r="D37" s="120">
        <v>6</v>
      </c>
      <c r="E37" s="137">
        <v>0.46296296296296291</v>
      </c>
      <c r="F37" s="137">
        <v>0.5981481481481481</v>
      </c>
      <c r="G37" s="137">
        <v>0.74629629629629646</v>
      </c>
      <c r="H37" s="120">
        <v>0</v>
      </c>
      <c r="I37" s="119">
        <v>0.28055555555555456</v>
      </c>
      <c r="P37" s="141" t="s">
        <v>261</v>
      </c>
      <c r="Q37" s="143">
        <v>5.8333333333333154E-4</v>
      </c>
      <c r="T37" t="s">
        <v>261</v>
      </c>
      <c r="U37" s="147">
        <v>0.11851851851851869</v>
      </c>
    </row>
    <row r="38" spans="1:21" x14ac:dyDescent="0.35">
      <c r="A38" s="120">
        <v>12</v>
      </c>
      <c r="B38" s="119">
        <v>4.1666666666666519E-3</v>
      </c>
      <c r="C38" s="119">
        <v>4.055555555555551E-3</v>
      </c>
      <c r="D38" s="120">
        <v>8</v>
      </c>
      <c r="E38" s="137">
        <v>0.49444444444444446</v>
      </c>
      <c r="F38" s="137">
        <v>0.64444444444444438</v>
      </c>
      <c r="G38" s="137">
        <v>0.77962962962962967</v>
      </c>
      <c r="H38" s="120">
        <v>0</v>
      </c>
      <c r="I38" s="119">
        <v>0.26458333333333239</v>
      </c>
      <c r="P38" s="141" t="s">
        <v>262</v>
      </c>
      <c r="Q38" s="143">
        <v>3.9722222222222077E-3</v>
      </c>
      <c r="T38" t="s">
        <v>262</v>
      </c>
      <c r="U38" s="147">
        <v>0.42407407407407383</v>
      </c>
    </row>
    <row r="39" spans="1:21" x14ac:dyDescent="0.35">
      <c r="A39" s="120">
        <v>13</v>
      </c>
      <c r="B39" s="119">
        <v>4.3263888888888736E-3</v>
      </c>
      <c r="C39" s="119">
        <v>4.2708333333333279E-3</v>
      </c>
      <c r="D39" s="120">
        <v>4</v>
      </c>
      <c r="E39" s="137">
        <v>0.45370370370370361</v>
      </c>
      <c r="F39" s="137">
        <v>0.6611111111111112</v>
      </c>
      <c r="G39" s="137">
        <v>0.74629629629629646</v>
      </c>
      <c r="H39" s="120">
        <v>0</v>
      </c>
      <c r="I39" s="119">
        <v>0.29305555555555451</v>
      </c>
      <c r="P39" s="141" t="s">
        <v>263</v>
      </c>
      <c r="Q39" s="143">
        <v>4.5555555555555393E-3</v>
      </c>
      <c r="T39" t="s">
        <v>263</v>
      </c>
      <c r="U39" s="147">
        <v>0.54259259259259252</v>
      </c>
    </row>
    <row r="40" spans="1:21" x14ac:dyDescent="0.35">
      <c r="A40" s="120">
        <v>14</v>
      </c>
      <c r="B40" s="119">
        <v>4.2430555555555407E-3</v>
      </c>
      <c r="C40" s="119">
        <v>4.131944444444439E-3</v>
      </c>
      <c r="D40" s="120">
        <v>8</v>
      </c>
      <c r="E40" s="137">
        <v>0.48148148148148129</v>
      </c>
      <c r="F40" s="137">
        <v>0.59629629629629632</v>
      </c>
      <c r="G40" s="137">
        <v>0.82037037037037042</v>
      </c>
      <c r="H40" s="120">
        <v>0</v>
      </c>
      <c r="I40" s="119">
        <v>0.28541666666666565</v>
      </c>
      <c r="P40" s="141" t="s">
        <v>264</v>
      </c>
      <c r="Q40" s="143">
        <v>8.5340277777777473E-2</v>
      </c>
      <c r="T40" t="s">
        <v>264</v>
      </c>
      <c r="U40" s="147">
        <v>9.7907407407407394</v>
      </c>
    </row>
    <row r="41" spans="1:21" ht="15" thickBot="1" x14ac:dyDescent="0.4">
      <c r="A41" s="120">
        <v>15</v>
      </c>
      <c r="B41" s="119">
        <v>4.2430555555555407E-3</v>
      </c>
      <c r="C41" s="119">
        <v>4.1736111111111054E-3</v>
      </c>
      <c r="D41" s="120">
        <v>5</v>
      </c>
      <c r="E41" s="137">
        <v>0.49444444444444435</v>
      </c>
      <c r="F41" s="137">
        <v>0.63888888888888884</v>
      </c>
      <c r="G41" s="137">
        <v>0.75370370370370376</v>
      </c>
      <c r="H41" s="120">
        <v>0</v>
      </c>
      <c r="I41" s="119">
        <v>0.28680555555555454</v>
      </c>
      <c r="P41" s="142" t="s">
        <v>265</v>
      </c>
      <c r="Q41" s="145">
        <v>20</v>
      </c>
      <c r="T41" s="140" t="s">
        <v>265</v>
      </c>
      <c r="U41" s="140">
        <v>20</v>
      </c>
    </row>
    <row r="42" spans="1:21" ht="15" thickBot="1" x14ac:dyDescent="0.4">
      <c r="A42" s="120">
        <v>16</v>
      </c>
      <c r="B42" s="119">
        <v>4.1180555555555406E-3</v>
      </c>
      <c r="C42" s="119">
        <v>3.9791666666666621E-3</v>
      </c>
      <c r="D42" s="120">
        <v>10</v>
      </c>
      <c r="E42" s="137">
        <v>0.54259259259259252</v>
      </c>
      <c r="F42" s="137">
        <v>0.64074074074074083</v>
      </c>
      <c r="G42" s="137">
        <v>0.75555555555555554</v>
      </c>
      <c r="H42" s="120">
        <v>0</v>
      </c>
      <c r="I42" s="119">
        <v>0.22777777777777697</v>
      </c>
    </row>
    <row r="43" spans="1:21" x14ac:dyDescent="0.35">
      <c r="A43" s="120">
        <v>17</v>
      </c>
      <c r="B43" s="119">
        <v>4.2847222222222071E-3</v>
      </c>
      <c r="C43" s="119">
        <v>4.2013888888888839E-3</v>
      </c>
      <c r="D43" s="120">
        <v>6</v>
      </c>
      <c r="E43" s="137">
        <v>0.48888888888888882</v>
      </c>
      <c r="F43" s="137">
        <v>0.62777777777777777</v>
      </c>
      <c r="G43" s="137">
        <v>0.76296296296296284</v>
      </c>
      <c r="H43" s="120">
        <v>0</v>
      </c>
      <c r="I43" s="119">
        <v>0.27708333333333235</v>
      </c>
      <c r="P43" s="231" t="s">
        <v>206</v>
      </c>
      <c r="Q43" s="231"/>
      <c r="T43" s="232" t="s">
        <v>248</v>
      </c>
      <c r="U43" s="232"/>
    </row>
    <row r="44" spans="1:21" x14ac:dyDescent="0.35">
      <c r="A44" s="120">
        <v>18</v>
      </c>
      <c r="B44" s="119">
        <v>4.4166666666666512E-3</v>
      </c>
      <c r="C44" s="119">
        <v>4.3333333333333271E-3</v>
      </c>
      <c r="D44" s="120">
        <v>6</v>
      </c>
      <c r="E44" s="137">
        <v>0.48333333333333317</v>
      </c>
      <c r="F44" s="137">
        <v>0.63333333333333353</v>
      </c>
      <c r="G44" s="137">
        <v>0.72777777777777786</v>
      </c>
      <c r="H44" s="120">
        <v>0</v>
      </c>
      <c r="I44" s="119">
        <v>0.22847222222222141</v>
      </c>
    </row>
    <row r="45" spans="1:21" x14ac:dyDescent="0.35">
      <c r="A45" s="120">
        <v>19</v>
      </c>
      <c r="B45" s="119">
        <v>3.9722222222222077E-3</v>
      </c>
      <c r="C45" s="119">
        <v>3.9444444444444397E-3</v>
      </c>
      <c r="D45" s="120">
        <v>2</v>
      </c>
      <c r="E45" s="137">
        <v>0.5092592592592593</v>
      </c>
      <c r="F45" s="137">
        <v>0.6425925925925926</v>
      </c>
      <c r="G45" s="137">
        <v>0.79629629629629628</v>
      </c>
      <c r="H45" s="120">
        <v>0</v>
      </c>
      <c r="I45" s="119">
        <v>0.28749999999999898</v>
      </c>
      <c r="P45" t="s">
        <v>253</v>
      </c>
      <c r="Q45" s="146">
        <v>4.1704861111111057E-3</v>
      </c>
      <c r="T45" t="s">
        <v>253</v>
      </c>
      <c r="U45" s="147">
        <v>0.63712962962962971</v>
      </c>
    </row>
    <row r="46" spans="1:21" x14ac:dyDescent="0.35">
      <c r="A46" s="120">
        <v>20</v>
      </c>
      <c r="B46" s="119">
        <v>4.4444444444444288E-3</v>
      </c>
      <c r="C46" s="119">
        <v>4.4305555555555496E-3</v>
      </c>
      <c r="D46" s="120">
        <v>1</v>
      </c>
      <c r="E46" s="137">
        <v>0.42407407407407383</v>
      </c>
      <c r="F46" s="137">
        <v>0.60925925925925939</v>
      </c>
      <c r="G46" s="137">
        <v>0.78518518518518521</v>
      </c>
      <c r="H46" s="120">
        <v>0</v>
      </c>
      <c r="I46" s="119">
        <v>0.30069444444444338</v>
      </c>
      <c r="P46" t="s">
        <v>254</v>
      </c>
      <c r="Q46">
        <v>3.7150044988853031E-5</v>
      </c>
      <c r="T46" t="s">
        <v>254</v>
      </c>
      <c r="U46">
        <v>4.7069086255707437E-3</v>
      </c>
    </row>
    <row r="47" spans="1:21" x14ac:dyDescent="0.35">
      <c r="A47" s="120" t="s">
        <v>252</v>
      </c>
      <c r="B47" s="119">
        <f>SUBTOTAL(101,Таблица1[Среднее время пребывания в системе])</f>
        <v>4.267013888888874E-3</v>
      </c>
      <c r="C47" s="119">
        <f>SUBTOTAL(101,Таблица1[Среднее время обслуживания])</f>
        <v>4.1704861111111057E-3</v>
      </c>
      <c r="D47" s="120">
        <f>SUBTOTAL(104,Таблица1[Количество потерянных заявок на обслуживание])</f>
        <v>13</v>
      </c>
      <c r="E47" s="137">
        <f>SUBTOTAL(101,Таблица1[Коэффициент полезной загрузки сервера 1])</f>
        <v>0.48953703703703699</v>
      </c>
      <c r="F47" s="137">
        <f>SUBTOTAL(101,Таблица1[Коэффициент полезной загрузки сервера 2])</f>
        <v>0.63712962962962971</v>
      </c>
      <c r="G47" s="137">
        <f>SUBTOTAL(101,Таблица1[Коэффициент полезной загрузки сервера 3])</f>
        <v>0.76120370370370383</v>
      </c>
      <c r="H47" s="120">
        <f>SUBTOTAL(105,Таблица1[Максимальный размер очереди])</f>
        <v>0</v>
      </c>
      <c r="I47" s="119">
        <f>SUBTOTAL(104,Таблица1[Длительность обслуживания клиентов])</f>
        <v>0.30972222222222112</v>
      </c>
      <c r="P47" t="s">
        <v>255</v>
      </c>
      <c r="Q47" s="146">
        <v>4.1527777777777726E-3</v>
      </c>
      <c r="T47" t="s">
        <v>255</v>
      </c>
      <c r="U47" s="147">
        <v>0.63981481481481484</v>
      </c>
    </row>
    <row r="48" spans="1:21" x14ac:dyDescent="0.35">
      <c r="P48" t="s">
        <v>256</v>
      </c>
      <c r="Q48" s="146" t="e">
        <v>#N/A</v>
      </c>
      <c r="T48" t="s">
        <v>256</v>
      </c>
      <c r="U48" s="147">
        <v>0.63333333333333353</v>
      </c>
    </row>
    <row r="49" spans="2:21" ht="15" thickBot="1" x14ac:dyDescent="0.4">
      <c r="P49" t="s">
        <v>257</v>
      </c>
      <c r="Q49" s="146">
        <v>1.661400519245016E-4</v>
      </c>
      <c r="T49" t="s">
        <v>257</v>
      </c>
      <c r="U49" s="147">
        <v>2.1049935301312578E-2</v>
      </c>
    </row>
    <row r="50" spans="2:21" x14ac:dyDescent="0.35">
      <c r="B50" s="149" t="s">
        <v>269</v>
      </c>
      <c r="C50" s="149" t="s">
        <v>271</v>
      </c>
      <c r="P50" t="s">
        <v>258</v>
      </c>
      <c r="Q50">
        <v>2.7602516853476086E-8</v>
      </c>
      <c r="T50" t="s">
        <v>258</v>
      </c>
      <c r="U50">
        <v>4.4309977618944547E-4</v>
      </c>
    </row>
    <row r="51" spans="2:21" x14ac:dyDescent="0.35">
      <c r="B51" s="146">
        <v>3.9722222222222077E-3</v>
      </c>
      <c r="C51">
        <v>1</v>
      </c>
      <c r="P51" t="s">
        <v>259</v>
      </c>
      <c r="Q51">
        <v>3.3344297743407303E-3</v>
      </c>
      <c r="T51" t="s">
        <v>259</v>
      </c>
      <c r="U51">
        <v>0.1827415439240232</v>
      </c>
    </row>
    <row r="52" spans="2:21" x14ac:dyDescent="0.35">
      <c r="B52" s="146">
        <v>4.0555555555555406E-3</v>
      </c>
      <c r="C52">
        <v>1</v>
      </c>
      <c r="P52" t="s">
        <v>260</v>
      </c>
      <c r="Q52">
        <v>-3.9623015275462352E-2</v>
      </c>
      <c r="T52" t="s">
        <v>260</v>
      </c>
      <c r="U52">
        <v>-0.25519795353007407</v>
      </c>
    </row>
    <row r="53" spans="2:21" x14ac:dyDescent="0.35">
      <c r="B53" s="146">
        <v>4.1388888888888734E-3</v>
      </c>
      <c r="C53">
        <v>2</v>
      </c>
      <c r="P53" t="s">
        <v>261</v>
      </c>
      <c r="Q53" s="146">
        <v>6.597222222222191E-4</v>
      </c>
      <c r="T53" t="s">
        <v>261</v>
      </c>
      <c r="U53" s="147">
        <v>7.9629629629629717E-2</v>
      </c>
    </row>
    <row r="54" spans="2:21" x14ac:dyDescent="0.35">
      <c r="B54" s="146">
        <v>4.2222222222222062E-3</v>
      </c>
      <c r="C54">
        <v>3</v>
      </c>
      <c r="P54" t="s">
        <v>262</v>
      </c>
      <c r="Q54" s="146">
        <v>3.8124999999999969E-3</v>
      </c>
      <c r="T54" t="s">
        <v>262</v>
      </c>
      <c r="U54" s="147">
        <v>0.59629629629629632</v>
      </c>
    </row>
    <row r="55" spans="2:21" x14ac:dyDescent="0.35">
      <c r="B55" s="146">
        <v>4.305555555555539E-3</v>
      </c>
      <c r="C55">
        <v>5</v>
      </c>
      <c r="P55" t="s">
        <v>263</v>
      </c>
      <c r="Q55" s="146">
        <v>4.472222222222216E-3</v>
      </c>
      <c r="T55" t="s">
        <v>263</v>
      </c>
      <c r="U55" s="147">
        <v>0.67592592592592604</v>
      </c>
    </row>
    <row r="56" spans="2:21" x14ac:dyDescent="0.35">
      <c r="B56" s="146">
        <v>4.3888888888888719E-3</v>
      </c>
      <c r="C56">
        <v>4</v>
      </c>
      <c r="P56" t="s">
        <v>264</v>
      </c>
      <c r="Q56" s="146">
        <v>8.3409722222222107E-2</v>
      </c>
      <c r="T56" t="s">
        <v>264</v>
      </c>
      <c r="U56" s="147">
        <v>12.742592592592594</v>
      </c>
    </row>
    <row r="57" spans="2:21" ht="15" thickBot="1" x14ac:dyDescent="0.4">
      <c r="B57" s="146">
        <v>4.4722222222222047E-3</v>
      </c>
      <c r="C57">
        <v>2</v>
      </c>
      <c r="P57" s="140" t="s">
        <v>265</v>
      </c>
      <c r="Q57" s="140">
        <v>20</v>
      </c>
      <c r="T57" s="140" t="s">
        <v>265</v>
      </c>
      <c r="U57" s="140">
        <v>20</v>
      </c>
    </row>
    <row r="58" spans="2:21" ht="15" thickBot="1" x14ac:dyDescent="0.4">
      <c r="B58" s="146">
        <v>4.5555555555555375E-3</v>
      </c>
      <c r="C58">
        <v>1</v>
      </c>
      <c r="U58">
        <v>0</v>
      </c>
    </row>
    <row r="59" spans="2:21" ht="15" thickBot="1" x14ac:dyDescent="0.4">
      <c r="B59" s="140" t="s">
        <v>270</v>
      </c>
      <c r="C59" s="140">
        <v>1</v>
      </c>
      <c r="P59" s="232" t="s">
        <v>208</v>
      </c>
      <c r="Q59" s="232"/>
      <c r="T59" s="232" t="s">
        <v>249</v>
      </c>
      <c r="U59" s="232"/>
    </row>
    <row r="61" spans="2:21" x14ac:dyDescent="0.35">
      <c r="P61" t="s">
        <v>253</v>
      </c>
      <c r="Q61">
        <v>6.95</v>
      </c>
      <c r="T61" t="s">
        <v>253</v>
      </c>
      <c r="U61" s="147">
        <v>0.76120370370370383</v>
      </c>
    </row>
    <row r="62" spans="2:21" x14ac:dyDescent="0.35">
      <c r="P62" t="s">
        <v>254</v>
      </c>
      <c r="Q62">
        <v>0.71625855372866143</v>
      </c>
      <c r="T62" t="s">
        <v>254</v>
      </c>
      <c r="U62">
        <v>5.620919893749853E-3</v>
      </c>
    </row>
    <row r="63" spans="2:21" x14ac:dyDescent="0.35">
      <c r="P63" t="s">
        <v>255</v>
      </c>
      <c r="Q63">
        <v>6.5</v>
      </c>
      <c r="T63" t="s">
        <v>255</v>
      </c>
      <c r="U63" s="147">
        <v>0.75462962962962965</v>
      </c>
    </row>
    <row r="64" spans="2:21" ht="15" thickBot="1" x14ac:dyDescent="0.4">
      <c r="P64" t="s">
        <v>256</v>
      </c>
      <c r="Q64">
        <v>6</v>
      </c>
      <c r="T64" t="s">
        <v>256</v>
      </c>
      <c r="U64" s="147">
        <v>0.74629629629629646</v>
      </c>
    </row>
    <row r="65" spans="2:21" x14ac:dyDescent="0.35">
      <c r="B65" s="149" t="s">
        <v>269</v>
      </c>
      <c r="C65" s="149" t="s">
        <v>271</v>
      </c>
      <c r="P65" t="s">
        <v>257</v>
      </c>
      <c r="Q65">
        <v>3.2032056312059449</v>
      </c>
      <c r="T65" t="s">
        <v>257</v>
      </c>
      <c r="U65" s="147">
        <v>2.5137517957011135E-2</v>
      </c>
    </row>
    <row r="66" spans="2:21" x14ac:dyDescent="0.35">
      <c r="B66">
        <v>1</v>
      </c>
      <c r="C66">
        <v>1</v>
      </c>
      <c r="P66" t="s">
        <v>258</v>
      </c>
      <c r="Q66">
        <v>10.260526315789477</v>
      </c>
      <c r="T66" t="s">
        <v>258</v>
      </c>
      <c r="U66">
        <v>6.3189480903905735E-4</v>
      </c>
    </row>
    <row r="67" spans="2:21" x14ac:dyDescent="0.35">
      <c r="B67">
        <v>4</v>
      </c>
      <c r="C67">
        <v>3</v>
      </c>
      <c r="P67" t="s">
        <v>259</v>
      </c>
      <c r="Q67">
        <v>-0.38986070400685691</v>
      </c>
      <c r="T67" t="s">
        <v>259</v>
      </c>
      <c r="U67">
        <v>-7.435215285333463E-2</v>
      </c>
    </row>
    <row r="68" spans="2:21" x14ac:dyDescent="0.35">
      <c r="B68">
        <v>7</v>
      </c>
      <c r="C68">
        <v>7</v>
      </c>
      <c r="P68" t="s">
        <v>260</v>
      </c>
      <c r="Q68">
        <v>5.0256357776813407E-2</v>
      </c>
      <c r="T68" t="s">
        <v>260</v>
      </c>
      <c r="U68">
        <v>0.86353524609894272</v>
      </c>
    </row>
    <row r="69" spans="2:21" x14ac:dyDescent="0.35">
      <c r="B69">
        <v>10</v>
      </c>
      <c r="C69">
        <v>6</v>
      </c>
      <c r="P69" t="s">
        <v>261</v>
      </c>
      <c r="Q69">
        <v>12</v>
      </c>
      <c r="T69" t="s">
        <v>261</v>
      </c>
      <c r="U69" s="147">
        <v>9.259259259259256E-2</v>
      </c>
    </row>
    <row r="70" spans="2:21" ht="15" thickBot="1" x14ac:dyDescent="0.4">
      <c r="B70" s="150" t="s">
        <v>272</v>
      </c>
      <c r="C70" s="140">
        <v>3</v>
      </c>
      <c r="P70" t="s">
        <v>262</v>
      </c>
      <c r="Q70">
        <v>1</v>
      </c>
      <c r="T70" t="s">
        <v>262</v>
      </c>
      <c r="U70" s="147">
        <v>0.72777777777777786</v>
      </c>
    </row>
    <row r="71" spans="2:21" x14ac:dyDescent="0.35">
      <c r="P71" t="s">
        <v>263</v>
      </c>
      <c r="Q71">
        <v>13</v>
      </c>
      <c r="T71" t="s">
        <v>263</v>
      </c>
      <c r="U71" s="147">
        <v>0.82037037037037042</v>
      </c>
    </row>
    <row r="72" spans="2:21" x14ac:dyDescent="0.35">
      <c r="P72" t="s">
        <v>264</v>
      </c>
      <c r="Q72">
        <v>139</v>
      </c>
      <c r="T72" t="s">
        <v>264</v>
      </c>
      <c r="U72" s="147">
        <v>15.224074074074077</v>
      </c>
    </row>
    <row r="73" spans="2:21" ht="15" thickBot="1" x14ac:dyDescent="0.4">
      <c r="P73" t="s">
        <v>265</v>
      </c>
      <c r="Q73">
        <v>20</v>
      </c>
      <c r="T73" s="140" t="s">
        <v>265</v>
      </c>
      <c r="U73" s="140">
        <v>20</v>
      </c>
    </row>
    <row r="74" spans="2:21" x14ac:dyDescent="0.35">
      <c r="P74" t="s">
        <v>267</v>
      </c>
      <c r="Q74">
        <v>12</v>
      </c>
      <c r="U74">
        <v>0</v>
      </c>
    </row>
    <row r="75" spans="2:21" ht="15" thickBot="1" x14ac:dyDescent="0.4">
      <c r="P75" s="140" t="s">
        <v>268</v>
      </c>
      <c r="Q75" s="140">
        <v>2</v>
      </c>
    </row>
  </sheetData>
  <sortState xmlns:xlrd2="http://schemas.microsoft.com/office/spreadsheetml/2017/richdata2" ref="B51:B58">
    <sortCondition ref="B51"/>
  </sortState>
  <mergeCells count="6">
    <mergeCell ref="P27:Q27"/>
    <mergeCell ref="P43:Q43"/>
    <mergeCell ref="T27:U27"/>
    <mergeCell ref="T43:U43"/>
    <mergeCell ref="T59:U59"/>
    <mergeCell ref="P59:Q59"/>
  </mergeCells>
  <pageMargins left="0.7" right="0.7" top="0.75" bottom="0.75" header="0.3" footer="0.3"/>
  <pageSetup paperSize="9" orientation="portrait" horizontalDpi="360" verticalDpi="36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C33" zoomScale="145" zoomScaleNormal="145" workbookViewId="0">
      <selection activeCell="Y19" sqref="Y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</vt:i4>
      </vt:variant>
    </vt:vector>
  </HeadingPairs>
  <TitlesOfParts>
    <vt:vector size="17" baseType="lpstr">
      <vt:lpstr>инструкция</vt:lpstr>
      <vt:lpstr>модель</vt:lpstr>
      <vt:lpstr>эксперимент</vt:lpstr>
      <vt:lpstr>пример</vt:lpstr>
      <vt:lpstr>ALT</vt:lpstr>
      <vt:lpstr>AST</vt:lpstr>
      <vt:lpstr>closed</vt:lpstr>
      <vt:lpstr>E1F</vt:lpstr>
      <vt:lpstr>E2F</vt:lpstr>
      <vt:lpstr>E3F</vt:lpstr>
      <vt:lpstr>IAT</vt:lpstr>
      <vt:lpstr>MXQ</vt:lpstr>
      <vt:lpstr>NLC</vt:lpstr>
      <vt:lpstr>renegat</vt:lpstr>
      <vt:lpstr>RUNC</vt:lpstr>
      <vt:lpstr>ST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Смирнов</dc:creator>
  <cp:lastModifiedBy>Артем Смирнов</cp:lastModifiedBy>
  <dcterms:created xsi:type="dcterms:W3CDTF">2022-02-22T08:06:33Z</dcterms:created>
  <dcterms:modified xsi:type="dcterms:W3CDTF">2025-05-27T23:06:52Z</dcterms:modified>
</cp:coreProperties>
</file>