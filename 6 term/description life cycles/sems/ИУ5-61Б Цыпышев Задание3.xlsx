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6й семестр\Черненький\"/>
    </mc:Choice>
  </mc:AlternateContent>
  <xr:revisionPtr revIDLastSave="0" documentId="13_ncr:1_{8FBA492E-9174-4FB9-B1E7-1589A49FC2BB}" xr6:coauthVersionLast="47" xr6:coauthVersionMax="47" xr10:uidLastSave="{00000000-0000-0000-0000-000000000000}"/>
  <bookViews>
    <workbookView xWindow="-110" yWindow="-110" windowWidth="25820" windowHeight="13900" activeTab="1" xr2:uid="{48263D11-4E2D-44CE-869E-8FBE5BE224E3}"/>
  </bookViews>
  <sheets>
    <sheet name="Лист1" sheetId="1" r:id="rId1"/>
    <sheet name="Лист2" sheetId="2" r:id="rId2"/>
  </sheets>
  <calcPr calcId="191029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14" i="1"/>
  <c r="B11" i="1"/>
  <c r="B10" i="1"/>
  <c r="E9" i="1" a="1"/>
  <c r="E15" i="1" s="1"/>
  <c r="C12" i="2" l="1"/>
  <c r="D10" i="2" s="1"/>
  <c r="D11" i="2" s="1"/>
  <c r="D12" i="2" s="1"/>
  <c r="D13" i="2" s="1"/>
  <c r="B12" i="1"/>
  <c r="C10" i="1" s="1"/>
  <c r="C11" i="1" s="1"/>
  <c r="C12" i="1" s="1"/>
  <c r="C13" i="1" s="1"/>
  <c r="B1" i="1" s="1"/>
  <c r="E9" i="1"/>
  <c r="E10" i="1"/>
  <c r="E11" i="1"/>
  <c r="E12" i="1"/>
  <c r="E13" i="1"/>
  <c r="E14" i="1"/>
  <c r="E10" i="2" l="1"/>
  <c r="E11" i="2" s="1"/>
  <c r="E12" i="2" s="1"/>
  <c r="E13" i="2" s="1"/>
  <c r="E14" i="2" s="1"/>
  <c r="E15" i="2" s="1"/>
  <c r="D14" i="2"/>
  <c r="B2" i="1"/>
  <c r="D1" i="1"/>
  <c r="F1" i="1" s="1"/>
  <c r="B3" i="1" l="1"/>
  <c r="D2" i="1" s="1"/>
  <c r="F2" i="1" s="1"/>
  <c r="C1" i="1"/>
  <c r="C2" i="1" l="1"/>
  <c r="E2" i="1" s="1"/>
  <c r="B4" i="1"/>
  <c r="D3" i="1" s="1"/>
  <c r="B5" i="1" l="1"/>
  <c r="C3" i="1"/>
  <c r="E3" i="1" s="1"/>
  <c r="D4" i="1"/>
  <c r="F4" i="1" s="1"/>
  <c r="F3" i="1"/>
  <c r="B6" i="1" l="1"/>
  <c r="C4" i="1"/>
  <c r="E4" i="1" s="1"/>
  <c r="B7" i="1" l="1"/>
  <c r="C6" i="1" s="1"/>
  <c r="C5" i="1"/>
  <c r="E5" i="1" s="1"/>
  <c r="D5" i="1"/>
  <c r="F5" i="1" s="1"/>
  <c r="D6" i="1" l="1"/>
  <c r="F6" i="1" s="1"/>
  <c r="E6" i="1"/>
  <c r="F3" i="2"/>
  <c r="L13" i="2"/>
  <c r="I10" i="2"/>
  <c r="K14" i="2"/>
  <c r="M14" i="2"/>
  <c r="J1" i="2"/>
  <c r="J15" i="2"/>
  <c r="F5" i="2"/>
  <c r="G5" i="2"/>
  <c r="I13" i="2"/>
  <c r="I4" i="2"/>
  <c r="L11" i="2"/>
  <c r="G3" i="2"/>
  <c r="I3" i="2"/>
  <c r="I2" i="2"/>
  <c r="J3" i="2"/>
  <c r="I14" i="2"/>
  <c r="L15" i="2"/>
  <c r="J14" i="2"/>
  <c r="G6" i="2"/>
  <c r="K12" i="2"/>
  <c r="G2" i="2"/>
  <c r="K10" i="2"/>
  <c r="H2" i="2"/>
  <c r="F2" i="2"/>
  <c r="I6" i="2"/>
  <c r="M12" i="2"/>
  <c r="M13" i="2"/>
  <c r="H1" i="2"/>
  <c r="M11" i="2"/>
  <c r="K13" i="2"/>
  <c r="I1" i="2"/>
  <c r="H5" i="2"/>
  <c r="F1" i="2"/>
  <c r="K11" i="2"/>
  <c r="M10" i="2"/>
  <c r="E1" i="2"/>
  <c r="C1" i="2"/>
  <c r="D1" i="2"/>
  <c r="J6" i="2"/>
  <c r="J11" i="2"/>
  <c r="I11" i="2"/>
  <c r="F6" i="2"/>
  <c r="J13" i="2"/>
  <c r="J10" i="2"/>
  <c r="H4" i="2"/>
  <c r="L14" i="2"/>
  <c r="I12" i="2"/>
  <c r="J2" i="2"/>
  <c r="J12" i="2"/>
  <c r="M15" i="2"/>
  <c r="L12" i="2"/>
  <c r="I15" i="2"/>
  <c r="L10" i="2"/>
  <c r="F4" i="2"/>
  <c r="G4" i="2"/>
  <c r="J4" i="2"/>
  <c r="J5" i="2"/>
  <c r="H3" i="2"/>
  <c r="G1" i="2"/>
  <c r="K15" i="2"/>
  <c r="I5" i="2"/>
  <c r="H6" i="2"/>
</calcChain>
</file>

<file path=xl/sharedStrings.xml><?xml version="1.0" encoding="utf-8"?>
<sst xmlns="http://schemas.openxmlformats.org/spreadsheetml/2006/main" count="3" uniqueCount="2">
  <si>
    <t>X/Y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</si>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</sst>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67DFF"/>
      <color rgb="FFFBC1FF"/>
      <color rgb="FFF8A3FF"/>
      <color rgb="FFF247FF"/>
      <color rgb="FFC300D2"/>
      <color rgb="FFA000AC"/>
      <color rgb="FF64006C"/>
      <color rgb="FFFF1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Лист1!$F$1:$F$6</c:f>
              <c:strCache>
                <c:ptCount val="6"/>
                <c:pt idx="0">
                  <c:v>[5,6-7,3]_x000d_6,45</c:v>
                </c:pt>
                <c:pt idx="1">
                  <c:v>[7,3-9]_x000d_8,15</c:v>
                </c:pt>
                <c:pt idx="2">
                  <c:v>[9-10,7]_x000d_9,85</c:v>
                </c:pt>
                <c:pt idx="3">
                  <c:v>[10,7-12,4]_x000d_11,55</c:v>
                </c:pt>
                <c:pt idx="4">
                  <c:v>[12,4-14,1]_x000d_13,25</c:v>
                </c:pt>
                <c:pt idx="5">
                  <c:v>[14,1-15,8]_x000d_14,95</c:v>
                </c:pt>
              </c:strCache>
            </c:strRef>
          </c:cat>
          <c:val>
            <c:numRef>
              <c:f>Лист1!$E$1:$E$6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15</c:v>
                </c:pt>
                <c:pt idx="3">
                  <c:v>14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D-488E-8DA6-B7C72D3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5347680"/>
        <c:axId val="645350632"/>
      </c:barChart>
      <c:lineChart>
        <c:grouping val="standard"/>
        <c:varyColors val="0"/>
        <c:ser>
          <c:idx val="1"/>
          <c:order val="1"/>
          <c:tx>
            <c:v>ряд2</c:v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shade val="76000"/>
                  </a:schemeClr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Lit>
              <c:formatCode>General</c:formatCode>
              <c:ptCount val="6"/>
              <c:pt idx="0">
                <c:v>6</c:v>
              </c:pt>
              <c:pt idx="1">
                <c:v>8</c:v>
              </c:pt>
              <c:pt idx="2">
                <c:v>15</c:v>
              </c:pt>
              <c:pt idx="3">
                <c:v>14</c:v>
              </c:pt>
              <c:pt idx="4">
                <c:v>5</c:v>
              </c:pt>
              <c:pt idx="5">
                <c:v>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C1D-488E-8DA6-B7C72D3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347680"/>
        <c:axId val="645350632"/>
      </c:lineChart>
      <c:catAx>
        <c:axId val="64534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350632"/>
        <c:crosses val="autoZero"/>
        <c:auto val="0"/>
        <c:lblAlgn val="ctr"/>
        <c:lblOffset val="100"/>
        <c:noMultiLvlLbl val="0"/>
      </c:catAx>
      <c:valAx>
        <c:axId val="64535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3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2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Лист2!$F$1:$F$6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B-47F1-B34D-9CC878AFD5F3}"/>
            </c:ext>
          </c:extLst>
        </c:ser>
        <c:ser>
          <c:idx val="1"/>
          <c:order val="1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Лист2!$G$1:$G$6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B-47F1-B34D-9CC878AFD5F3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Лист2!$H$1:$H$6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3B-47F1-B34D-9CC878AFD5F3}"/>
            </c:ext>
          </c:extLst>
        </c:ser>
        <c:ser>
          <c:idx val="3"/>
          <c:order val="3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Лист2!$I$1:$I$6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3B-47F1-B34D-9CC878AFD5F3}"/>
            </c:ext>
          </c:extLst>
        </c:ser>
        <c:ser>
          <c:idx val="4"/>
          <c:order val="4"/>
          <c:spPr>
            <a:solidFill>
              <a:schemeClr val="accent6">
                <a:tint val="54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Лист2!$J$1:$J$6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3B-47F1-B34D-9CC878AF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8762336"/>
        <c:axId val="778760696"/>
        <c:axId val="429277544"/>
      </c:bar3DChart>
      <c:catAx>
        <c:axId val="77876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60696"/>
        <c:crosses val="autoZero"/>
        <c:auto val="1"/>
        <c:lblAlgn val="ctr"/>
        <c:lblOffset val="100"/>
        <c:noMultiLvlLbl val="0"/>
      </c:catAx>
      <c:valAx>
        <c:axId val="77876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62336"/>
        <c:crosses val="autoZero"/>
        <c:crossBetween val="between"/>
      </c:valAx>
      <c:serAx>
        <c:axId val="429277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606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7</xdr:row>
      <xdr:rowOff>127635</xdr:rowOff>
    </xdr:from>
    <xdr:to>
      <xdr:col>12</xdr:col>
      <xdr:colOff>68580</xdr:colOff>
      <xdr:row>22</xdr:row>
      <xdr:rowOff>127635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586988-5629-4B33-BB5B-A19F24CEC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16</xdr:row>
      <xdr:rowOff>97155</xdr:rowOff>
    </xdr:from>
    <xdr:to>
      <xdr:col>14</xdr:col>
      <xdr:colOff>102870</xdr:colOff>
      <xdr:row>31</xdr:row>
      <xdr:rowOff>97155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CD8E16-03C1-437A-86FE-4427C22BA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17B9-2DC7-4512-8AC7-432B30FBE15F}">
  <dimension ref="A1:F50"/>
  <sheetViews>
    <sheetView workbookViewId="0">
      <selection activeCell="L27" sqref="L27"/>
    </sheetView>
  </sheetViews>
  <sheetFormatPr defaultRowHeight="14.5" x14ac:dyDescent="0.35"/>
  <cols>
    <col min="3" max="3" width="8.6328125" customWidth="1"/>
    <col min="6" max="6" width="13.81640625" bestFit="1" customWidth="1"/>
  </cols>
  <sheetData>
    <row r="1" spans="1:6" x14ac:dyDescent="0.35">
      <c r="A1">
        <v>9.19</v>
      </c>
      <c r="B1">
        <f>C13</f>
        <v>5.6</v>
      </c>
      <c r="C1">
        <f t="shared" ref="C1:C6" si="0">COUNTIF($A$1:$A$50,"&lt;="&amp;B2)</f>
        <v>6</v>
      </c>
      <c r="D1">
        <f>(B1+B2)/2</f>
        <v>6.4499999999999993</v>
      </c>
      <c r="E1">
        <v>6</v>
      </c>
      <c r="F1" t="str">
        <f>"[" &amp; B1 &amp; "-" &amp; B2 &amp; "]" &amp; CHAR(13) &amp; D1</f>
        <v>[5,6-7,3]_x000D_6,45</v>
      </c>
    </row>
    <row r="2" spans="1:6" x14ac:dyDescent="0.35">
      <c r="A2">
        <v>11.5</v>
      </c>
      <c r="B2">
        <f>B1+$C$11</f>
        <v>7.3</v>
      </c>
      <c r="C2">
        <f t="shared" si="0"/>
        <v>14</v>
      </c>
      <c r="D2">
        <f t="shared" ref="D2:D6" si="1">(B2+B3)/2</f>
        <v>8.15</v>
      </c>
      <c r="E2">
        <f>C2-C1</f>
        <v>8</v>
      </c>
      <c r="F2" t="str">
        <f t="shared" ref="F2:F6" si="2">"[" &amp; B2 &amp; "-" &amp; B3 &amp; "]" &amp; CHAR(13) &amp; D2</f>
        <v>[7,3-9]_x000D_8,15</v>
      </c>
    </row>
    <row r="3" spans="1:6" x14ac:dyDescent="0.35">
      <c r="A3">
        <v>10.7</v>
      </c>
      <c r="B3">
        <f t="shared" ref="B3:B7" si="3">B2+$C$11</f>
        <v>9</v>
      </c>
      <c r="C3">
        <f t="shared" si="0"/>
        <v>29</v>
      </c>
      <c r="D3">
        <f t="shared" si="1"/>
        <v>9.85</v>
      </c>
      <c r="E3">
        <f t="shared" ref="E3:E6" si="4">C3-C2</f>
        <v>15</v>
      </c>
      <c r="F3" t="str">
        <f t="shared" si="2"/>
        <v>[9-10,7]_x000D_9,85</v>
      </c>
    </row>
    <row r="4" spans="1:6" x14ac:dyDescent="0.35">
      <c r="A4">
        <v>12.6</v>
      </c>
      <c r="B4">
        <f t="shared" si="3"/>
        <v>10.7</v>
      </c>
      <c r="C4">
        <f t="shared" si="0"/>
        <v>43</v>
      </c>
      <c r="D4">
        <f t="shared" si="1"/>
        <v>11.549999999999999</v>
      </c>
      <c r="E4">
        <f t="shared" si="4"/>
        <v>14</v>
      </c>
      <c r="F4" t="str">
        <f t="shared" si="2"/>
        <v>[10,7-12,4]_x000D_11,55</v>
      </c>
    </row>
    <row r="5" spans="1:6" x14ac:dyDescent="0.35">
      <c r="A5">
        <v>13</v>
      </c>
      <c r="B5">
        <f t="shared" si="3"/>
        <v>12.399999999999999</v>
      </c>
      <c r="C5">
        <f t="shared" si="0"/>
        <v>48</v>
      </c>
      <c r="D5">
        <f t="shared" si="1"/>
        <v>13.249999999999998</v>
      </c>
      <c r="E5">
        <f t="shared" si="4"/>
        <v>5</v>
      </c>
      <c r="F5" t="str">
        <f t="shared" si="2"/>
        <v>[12,4-14,1]_x000D_13,25</v>
      </c>
    </row>
    <row r="6" spans="1:6" x14ac:dyDescent="0.35">
      <c r="A6">
        <v>12.3</v>
      </c>
      <c r="B6">
        <f t="shared" si="3"/>
        <v>14.099999999999998</v>
      </c>
      <c r="C6">
        <f t="shared" si="0"/>
        <v>50</v>
      </c>
      <c r="D6">
        <f t="shared" si="1"/>
        <v>14.949999999999998</v>
      </c>
      <c r="E6">
        <f t="shared" si="4"/>
        <v>2</v>
      </c>
      <c r="F6" t="str">
        <f t="shared" si="2"/>
        <v>[14,1-15,8]_x000D_14,95</v>
      </c>
    </row>
    <row r="7" spans="1:6" x14ac:dyDescent="0.35">
      <c r="A7">
        <v>7.46</v>
      </c>
      <c r="B7">
        <f t="shared" si="3"/>
        <v>15.799999999999997</v>
      </c>
    </row>
    <row r="8" spans="1:6" x14ac:dyDescent="0.35">
      <c r="A8">
        <v>8.92</v>
      </c>
    </row>
    <row r="9" spans="1:6" x14ac:dyDescent="0.35">
      <c r="A9">
        <v>8.8000000000000007</v>
      </c>
      <c r="D9">
        <v>5.6</v>
      </c>
      <c r="E9">
        <f t="array" ref="E9:E15">FREQUENCY(A1:A50,D10:D15)</f>
        <v>6</v>
      </c>
    </row>
    <row r="10" spans="1:6" x14ac:dyDescent="0.35">
      <c r="A10">
        <v>11.6</v>
      </c>
      <c r="B10">
        <f>MIN(A1:A50)</f>
        <v>5.82</v>
      </c>
      <c r="C10">
        <f>B12/6</f>
        <v>1.6133333333333333</v>
      </c>
      <c r="D10">
        <v>7.3</v>
      </c>
      <c r="E10">
        <v>8</v>
      </c>
    </row>
    <row r="11" spans="1:6" x14ac:dyDescent="0.35">
      <c r="A11">
        <v>11.9</v>
      </c>
      <c r="B11">
        <f>MAX(A1:A50)</f>
        <v>15.5</v>
      </c>
      <c r="C11">
        <f>ROUNDUP(C10,1)</f>
        <v>1.7000000000000002</v>
      </c>
      <c r="D11">
        <v>9</v>
      </c>
      <c r="E11">
        <v>15</v>
      </c>
    </row>
    <row r="12" spans="1:6" x14ac:dyDescent="0.35">
      <c r="A12">
        <v>10.9</v>
      </c>
      <c r="B12">
        <f>B11-B10</f>
        <v>9.68</v>
      </c>
      <c r="C12">
        <f>B10-(6*C11-B12)/2</f>
        <v>5.56</v>
      </c>
      <c r="D12">
        <v>10.7</v>
      </c>
      <c r="E12">
        <v>14</v>
      </c>
    </row>
    <row r="13" spans="1:6" x14ac:dyDescent="0.35">
      <c r="A13">
        <v>5.82</v>
      </c>
      <c r="C13">
        <f>ROUNDUP(C12,1)</f>
        <v>5.6</v>
      </c>
      <c r="D13">
        <v>12.399999999999999</v>
      </c>
      <c r="E13">
        <v>5</v>
      </c>
    </row>
    <row r="14" spans="1:6" x14ac:dyDescent="0.35">
      <c r="A14">
        <v>8.89</v>
      </c>
      <c r="C14">
        <f>5.6+6*1.7</f>
        <v>15.799999999999999</v>
      </c>
      <c r="D14">
        <v>14.099999999999998</v>
      </c>
      <c r="E14">
        <v>2</v>
      </c>
    </row>
    <row r="15" spans="1:6" x14ac:dyDescent="0.35">
      <c r="A15">
        <v>9.32</v>
      </c>
      <c r="D15">
        <v>15.799999999999997</v>
      </c>
      <c r="E15">
        <v>0</v>
      </c>
    </row>
    <row r="16" spans="1:6" x14ac:dyDescent="0.35">
      <c r="A16">
        <v>8.3000000000000007</v>
      </c>
    </row>
    <row r="17" spans="1:1" x14ac:dyDescent="0.35">
      <c r="A17">
        <v>8.76</v>
      </c>
    </row>
    <row r="18" spans="1:1" x14ac:dyDescent="0.35">
      <c r="A18">
        <v>8.01</v>
      </c>
    </row>
    <row r="19" spans="1:1" x14ac:dyDescent="0.35">
      <c r="A19">
        <v>15.5</v>
      </c>
    </row>
    <row r="20" spans="1:1" x14ac:dyDescent="0.35">
      <c r="A20">
        <v>12.3</v>
      </c>
    </row>
    <row r="21" spans="1:1" x14ac:dyDescent="0.35">
      <c r="A21">
        <v>9.4600000000000009</v>
      </c>
    </row>
    <row r="22" spans="1:1" x14ac:dyDescent="0.35">
      <c r="A22">
        <v>9.11</v>
      </c>
    </row>
    <row r="23" spans="1:1" x14ac:dyDescent="0.35">
      <c r="A23">
        <v>12.1</v>
      </c>
    </row>
    <row r="24" spans="1:1" x14ac:dyDescent="0.35">
      <c r="A24">
        <v>12.5</v>
      </c>
    </row>
    <row r="25" spans="1:1" x14ac:dyDescent="0.35">
      <c r="A25">
        <v>9.33</v>
      </c>
    </row>
    <row r="26" spans="1:1" x14ac:dyDescent="0.35">
      <c r="A26">
        <v>11</v>
      </c>
    </row>
    <row r="27" spans="1:1" x14ac:dyDescent="0.35">
      <c r="A27">
        <v>10.1</v>
      </c>
    </row>
    <row r="28" spans="1:1" x14ac:dyDescent="0.35">
      <c r="A28">
        <v>9.61</v>
      </c>
    </row>
    <row r="29" spans="1:1" x14ac:dyDescent="0.35">
      <c r="A29">
        <v>13.7</v>
      </c>
    </row>
    <row r="30" spans="1:1" x14ac:dyDescent="0.35">
      <c r="A30">
        <v>15</v>
      </c>
    </row>
    <row r="31" spans="1:1" x14ac:dyDescent="0.35">
      <c r="A31">
        <v>12.2</v>
      </c>
    </row>
    <row r="32" spans="1:1" x14ac:dyDescent="0.35">
      <c r="A32">
        <v>13.1</v>
      </c>
    </row>
    <row r="33" spans="1:1" x14ac:dyDescent="0.35">
      <c r="A33">
        <v>11.7</v>
      </c>
    </row>
    <row r="34" spans="1:1" x14ac:dyDescent="0.35">
      <c r="A34">
        <v>10.4</v>
      </c>
    </row>
    <row r="35" spans="1:1" x14ac:dyDescent="0.35">
      <c r="A35">
        <v>11.5</v>
      </c>
    </row>
    <row r="36" spans="1:1" x14ac:dyDescent="0.35">
      <c r="A36">
        <v>9.02</v>
      </c>
    </row>
    <row r="37" spans="1:1" x14ac:dyDescent="0.35">
      <c r="A37">
        <v>9.23</v>
      </c>
    </row>
    <row r="38" spans="1:1" x14ac:dyDescent="0.35">
      <c r="A38">
        <v>7.16</v>
      </c>
    </row>
    <row r="39" spans="1:1" x14ac:dyDescent="0.35">
      <c r="A39">
        <v>12</v>
      </c>
    </row>
    <row r="40" spans="1:1" x14ac:dyDescent="0.35">
      <c r="A40">
        <v>10.6</v>
      </c>
    </row>
    <row r="41" spans="1:1" x14ac:dyDescent="0.35">
      <c r="A41">
        <v>6.39</v>
      </c>
    </row>
    <row r="42" spans="1:1" x14ac:dyDescent="0.35">
      <c r="A42">
        <v>6.97</v>
      </c>
    </row>
    <row r="43" spans="1:1" x14ac:dyDescent="0.35">
      <c r="A43">
        <v>9.0299999999999994</v>
      </c>
    </row>
    <row r="44" spans="1:1" x14ac:dyDescent="0.35">
      <c r="A44">
        <v>6.84</v>
      </c>
    </row>
    <row r="45" spans="1:1" x14ac:dyDescent="0.35">
      <c r="A45">
        <v>8.2899999999999991</v>
      </c>
    </row>
    <row r="46" spans="1:1" x14ac:dyDescent="0.35">
      <c r="A46">
        <v>10.5</v>
      </c>
    </row>
    <row r="47" spans="1:1" x14ac:dyDescent="0.35">
      <c r="A47">
        <v>11.7</v>
      </c>
    </row>
    <row r="48" spans="1:1" x14ac:dyDescent="0.35">
      <c r="A48">
        <v>7.05</v>
      </c>
    </row>
    <row r="49" spans="1:1" x14ac:dyDescent="0.35">
      <c r="A49">
        <v>12.1</v>
      </c>
    </row>
    <row r="50" spans="1:1" x14ac:dyDescent="0.35">
      <c r="A50">
        <v>9.51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7F2B-B3C9-4465-88D6-70FDEE950CC7}">
  <dimension ref="A1:N50"/>
  <sheetViews>
    <sheetView tabSelected="1" topLeftCell="B1" workbookViewId="0">
      <selection activeCell="U21" sqref="U21"/>
    </sheetView>
  </sheetViews>
  <sheetFormatPr defaultRowHeight="14.5" x14ac:dyDescent="0.35"/>
  <sheetData>
    <row r="1" spans="1:14" x14ac:dyDescent="0.35">
      <c r="A1">
        <v>9.19</v>
      </c>
      <c r="B1">
        <v>27.5</v>
      </c>
      <c r="C1">
        <f ca="1">C1+1</f>
        <v>50</v>
      </c>
      <c r="D1">
        <f ca="1">INDEX(A1:B50,C1,1)</f>
        <v>9.51</v>
      </c>
      <c r="E1">
        <f ca="1">INDEX(A1:B50,C1,2)</f>
        <v>21.8</v>
      </c>
      <c r="F1">
        <f ca="1">F1+IF(AND($C2&lt;$D$1,$D$1&lt;=$C3,$E$1&lt;=$D$3),1,0)</f>
        <v>1</v>
      </c>
      <c r="G1">
        <f ca="1">G1+IF(AND($D$1&lt;=$C3,$D$3&lt;$E$1,$E$1&lt;=$D$4),1,0)</f>
        <v>3</v>
      </c>
      <c r="H1">
        <f ca="1">H1+IF(AND($D$1&lt;=$C3,$D$4&lt;$E$1,$E$1&lt;=$D$5),1,0)</f>
        <v>1</v>
      </c>
      <c r="I1">
        <f ca="1">I1+IF(AND($D$1&lt;=$C3,$D$5&lt;$E$1,$E$1&lt;=$D$6),1,0)</f>
        <v>1</v>
      </c>
      <c r="J1">
        <f ca="1">J1+IF(AND($D$1&lt;=$C3,$D$6&lt;$E$1,$E$1&lt;=$D$7),1,0)</f>
        <v>0</v>
      </c>
    </row>
    <row r="2" spans="1:14" x14ac:dyDescent="0.35">
      <c r="A2">
        <v>11.5</v>
      </c>
      <c r="B2">
        <v>26</v>
      </c>
      <c r="C2">
        <v>5.6</v>
      </c>
      <c r="D2">
        <v>18</v>
      </c>
      <c r="F2">
        <f ca="1">F2+IF(AND($C3&lt;$D$1,$D$1&lt;=$C4,$E$1&lt;=$D$3),1,0)</f>
        <v>0</v>
      </c>
      <c r="G2">
        <f ca="1">G2+IF(AND($C3&lt;$D$1,$D$1&lt;=$C4,$D$3&lt;$E$1,$E$1&lt;=$D$4),1,0)</f>
        <v>1</v>
      </c>
      <c r="H2">
        <f ca="1">H2+IF(AND($C3&lt;$D$1,$D$1&lt;=$C4,$D$4&lt;$E$1,$E$1&lt;=$D$5),1,0)</f>
        <v>4</v>
      </c>
      <c r="I2">
        <f ca="1">I2+IF(AND($C3&lt;$D$1,$D$1&lt;=$C4,$D$5&lt;$E$1,$E$1&lt;=$D$6),1,0)</f>
        <v>2</v>
      </c>
      <c r="J2">
        <f ca="1">J2+IF(AND($C3&lt;$D$1,$D$1&lt;=$C4,$D$6&lt;$E$1,$E$1&lt;=$D$7),1,0)</f>
        <v>1</v>
      </c>
    </row>
    <row r="3" spans="1:14" x14ac:dyDescent="0.35">
      <c r="A3">
        <v>10.7</v>
      </c>
      <c r="B3">
        <v>26.9</v>
      </c>
      <c r="C3">
        <v>7.3</v>
      </c>
      <c r="D3">
        <v>21</v>
      </c>
      <c r="F3">
        <f ca="1">F3+IF(AND($C4&lt;$D$1,$D$1&lt;=$C5,$E$1&lt;=$D$3),1,0)</f>
        <v>2</v>
      </c>
      <c r="G3">
        <f ca="1">G3+IF(AND($C4&lt;$D$1,$D$1&lt;=$C5,$D$3&lt;$E$1,$E$1&lt;=$D$4),1,0)</f>
        <v>4</v>
      </c>
      <c r="H3">
        <f ca="1">H3+IF(AND($C4&lt;$D$1,$D$1&lt;=$C5,$D$4&lt;$E$1,$E$1&lt;=$D$5),1,0)</f>
        <v>5</v>
      </c>
      <c r="I3">
        <f ca="1">I3+IF(AND($C4&lt;$D$1,$D$1&lt;=$C5,$D$5&lt;$E$1,$E$1&lt;=$D$6),1,0)</f>
        <v>3</v>
      </c>
      <c r="J3">
        <f ca="1">J3+IF(AND($C4&lt;$D$1,$D$1&lt;=$C5,$D$6&lt;$E$1,$E$1&lt;=$D$7),1,0)</f>
        <v>1</v>
      </c>
    </row>
    <row r="4" spans="1:14" x14ac:dyDescent="0.35">
      <c r="A4">
        <v>12.6</v>
      </c>
      <c r="B4">
        <v>24.3</v>
      </c>
      <c r="C4">
        <v>9</v>
      </c>
      <c r="D4">
        <v>24</v>
      </c>
      <c r="F4">
        <f ca="1">F4+IF(AND($C5&lt;$D$1,$D$1&lt;=$C6,$E$1&lt;=$D$3),1,0)</f>
        <v>1</v>
      </c>
      <c r="G4">
        <f ca="1">G4+IF(AND($C5&lt;$D$1,$D$1&lt;=$C6,$D$3&lt;$E$1,$E$1&lt;=$D$4),1,0)</f>
        <v>4</v>
      </c>
      <c r="H4">
        <f ca="1">H4+IF(AND($C5&lt;$D$1,$D$1&lt;=$C6,$D$4&lt;$E$1,$E$1&lt;=$D$5),1,0)</f>
        <v>6</v>
      </c>
      <c r="I4">
        <f ca="1">I4+IF(AND($C5&lt;$D$1,$D$1&lt;=$C6,$D$5&lt;$E$1,$E$1&lt;=$D$6),1,0)</f>
        <v>2</v>
      </c>
      <c r="J4">
        <f ca="1">J4+IF(AND($C5&lt;$D$1,$D$1&lt;=$C6,$D$6&lt;$E$1,$E$1&lt;=$D$7),1,0)</f>
        <v>1</v>
      </c>
    </row>
    <row r="5" spans="1:14" x14ac:dyDescent="0.35">
      <c r="A5">
        <v>13</v>
      </c>
      <c r="B5">
        <v>22.2</v>
      </c>
      <c r="C5">
        <v>10.7</v>
      </c>
      <c r="D5">
        <v>27</v>
      </c>
      <c r="F5">
        <f ca="1">F5+IF(AND($C6&lt;$D$1,$D$1&lt;=$C7,$E$1&lt;=$D$3),1,0)</f>
        <v>2</v>
      </c>
      <c r="G5">
        <f ca="1">G5+IF(AND($C6&lt;$D$1,$D$1&lt;=$C7,$D$3&lt;$E$1,$E$1&lt;=$D$4),1,0)</f>
        <v>1</v>
      </c>
      <c r="H5">
        <f ca="1">H5+IF(AND($C6&lt;$D$1,$D$1&lt;=$C7,$D$4&lt;$E$1,$E$1&lt;=$D$5),1,0)</f>
        <v>2</v>
      </c>
      <c r="I5">
        <f ca="1">I5+IF(AND($C6&lt;$D$1,$D$1&lt;=$C7,$D$5&lt;$E$1,$E$1&lt;=$D$6),1,0)</f>
        <v>0</v>
      </c>
      <c r="J5">
        <f ca="1">J5+IF(AND($C6&lt;$D$1,$D$1&lt;=$C7,$D$6&lt;$E$1,$E$1&lt;=$D$7),1,0)</f>
        <v>0</v>
      </c>
    </row>
    <row r="6" spans="1:14" x14ac:dyDescent="0.35">
      <c r="A6">
        <v>12.3</v>
      </c>
      <c r="B6">
        <v>29.1</v>
      </c>
      <c r="C6">
        <v>12.399999999999999</v>
      </c>
      <c r="D6">
        <v>30</v>
      </c>
      <c r="F6">
        <f t="shared" ref="F6" ca="1" si="0">F6+IF(AND($C7&lt;$D$1,$D$1&lt;=$C8,$E$1&lt;=$D$3),1,0)</f>
        <v>0</v>
      </c>
      <c r="G6">
        <f ca="1">G6+IF(AND($C7&lt;$D$1,$D$1&lt;=$C8,$D$3&lt;$E$1,$E$1&lt;=$D$4),1,0)</f>
        <v>1</v>
      </c>
      <c r="H6">
        <f ca="1">H6+IF(AND($C7&lt;$D$1,$D$1&lt;=$C8,$D$4&lt;$E$1,$E$1&lt;=$D$5),1,0)</f>
        <v>1</v>
      </c>
      <c r="I6">
        <f ca="1">I6+IF(AND($C7&lt;$D$1,$D$1&lt;=$C8,$D$5&lt;$E$1,$E$1&lt;=$D$6),1,0)</f>
        <v>0</v>
      </c>
      <c r="J6">
        <f ca="1">J6+IF(AND($C7&lt;$D$1,$D$1&lt;=$C8,$D$6&lt;$E$1,$E$1&lt;=$D$7),1,0)</f>
        <v>0</v>
      </c>
    </row>
    <row r="7" spans="1:14" x14ac:dyDescent="0.35">
      <c r="A7">
        <v>7.46</v>
      </c>
      <c r="B7">
        <v>23.3</v>
      </c>
      <c r="C7">
        <v>14.099999999999998</v>
      </c>
      <c r="D7">
        <v>33</v>
      </c>
    </row>
    <row r="8" spans="1:14" x14ac:dyDescent="0.35">
      <c r="A8">
        <v>8.92</v>
      </c>
      <c r="B8">
        <v>24.7</v>
      </c>
      <c r="C8">
        <v>15.799999999999997</v>
      </c>
    </row>
    <row r="9" spans="1:14" x14ac:dyDescent="0.35">
      <c r="A9">
        <v>8.8000000000000007</v>
      </c>
      <c r="B9">
        <v>27.2</v>
      </c>
      <c r="H9" s="1" t="s">
        <v>0</v>
      </c>
      <c r="I9" s="1">
        <v>19.5</v>
      </c>
      <c r="J9" s="1">
        <v>22.5</v>
      </c>
      <c r="K9" s="1">
        <v>25.5</v>
      </c>
      <c r="L9" s="1">
        <v>28.5</v>
      </c>
      <c r="M9" s="1">
        <v>31.5</v>
      </c>
      <c r="N9" s="1" t="s">
        <v>1</v>
      </c>
    </row>
    <row r="10" spans="1:14" x14ac:dyDescent="0.35">
      <c r="A10">
        <v>11.6</v>
      </c>
      <c r="B10">
        <v>20.8</v>
      </c>
      <c r="C10">
        <f>MIN(B1:B50)</f>
        <v>18.100000000000001</v>
      </c>
      <c r="D10">
        <f>C12/5</f>
        <v>2.8599999999999994</v>
      </c>
      <c r="E10">
        <f>D13</f>
        <v>18</v>
      </c>
      <c r="H10" s="1">
        <v>6.45</v>
      </c>
      <c r="I10" s="1">
        <f ca="1">I10+IF(AND($C11&lt;$D$1,$D$1&lt;=$C12,$E$1&lt;=$D$3),1,0)</f>
        <v>1</v>
      </c>
      <c r="J10" s="1">
        <f ca="1">J10+IF(AND($D$1&lt;=$C12,$D$3&lt;$E$1,$E$1&lt;=$D$4),1,0)</f>
        <v>3</v>
      </c>
      <c r="K10" s="1">
        <f ca="1">K10+IF(AND($D$1&lt;=$C12,$D$4&lt;$E$1,$E$1&lt;=$D$5),1,0)</f>
        <v>1</v>
      </c>
      <c r="L10" s="1">
        <f ca="1">L10+IF(AND($D$1&lt;=$C12,$D$5&lt;$E$1,$E$1&lt;=$D$6),1,0)</f>
        <v>1</v>
      </c>
      <c r="M10" s="1">
        <f ca="1">M10+IF(AND($D$1&lt;=$C12,$D$6&lt;$E$1,$E$1&lt;=$D$7),1,0)</f>
        <v>0</v>
      </c>
      <c r="N10" s="1">
        <v>7</v>
      </c>
    </row>
    <row r="11" spans="1:14" x14ac:dyDescent="0.35">
      <c r="A11">
        <v>11.9</v>
      </c>
      <c r="B11">
        <v>25.8</v>
      </c>
      <c r="C11">
        <f>MAX(B1:B50)</f>
        <v>32.4</v>
      </c>
      <c r="D11">
        <f>ROUND(D10,0)</f>
        <v>3</v>
      </c>
      <c r="E11">
        <f>E10+$D$11</f>
        <v>21</v>
      </c>
      <c r="H11" s="1">
        <v>8.15</v>
      </c>
      <c r="I11" s="1">
        <f ca="1">I11+IF(AND($C12&lt;$D$1,$D$1&lt;=$C13,$E$1&lt;=$D$3),1,0)</f>
        <v>0</v>
      </c>
      <c r="J11" s="1">
        <f ca="1">J11+IF(AND($C12&lt;$D$1,$D$1&lt;=$C13,$D$3&lt;$E$1,$E$1&lt;=$D$4),1,0)</f>
        <v>1</v>
      </c>
      <c r="K11" s="1">
        <f ca="1">K11+IF(AND($C12&lt;$D$1,$D$1&lt;=$C13,$D$4&lt;$E$1,$E$1&lt;=$D$5),1,0)</f>
        <v>4</v>
      </c>
      <c r="L11" s="1">
        <f ca="1">L11+IF(AND($C12&lt;$D$1,$D$1&lt;=$C13,$D$5&lt;$E$1,$E$1&lt;=$D$6),1,0)</f>
        <v>2</v>
      </c>
      <c r="M11" s="1">
        <f ca="1">M11+IF(AND($C12&lt;$D$1,$D$1&lt;=$C13,$D$6&lt;$E$1,$E$1&lt;=$D$7),1,0)</f>
        <v>1</v>
      </c>
      <c r="N11" s="1">
        <v>7</v>
      </c>
    </row>
    <row r="12" spans="1:14" x14ac:dyDescent="0.35">
      <c r="A12">
        <v>10.9</v>
      </c>
      <c r="B12">
        <v>25.4</v>
      </c>
      <c r="C12">
        <f>C11-C10</f>
        <v>14.299999999999997</v>
      </c>
      <c r="D12">
        <f>C10-(5*D11-C12)/2</f>
        <v>17.75</v>
      </c>
      <c r="E12">
        <f t="shared" ref="E12:E15" si="1">E11+$D$11</f>
        <v>24</v>
      </c>
      <c r="H12" s="1">
        <v>9.85</v>
      </c>
      <c r="I12" s="1">
        <f ca="1">I12+IF(AND($C13&lt;$D$1,$D$1&lt;=$C14,$E$1&lt;=$D$3),1,0)</f>
        <v>2</v>
      </c>
      <c r="J12" s="1">
        <f ca="1">J12+IF(AND($C13&lt;$D$1,$D$1&lt;=$C14,$D$3&lt;$E$1,$E$1&lt;=$D$4),1,0)</f>
        <v>4</v>
      </c>
      <c r="K12" s="1">
        <f ca="1">K12+IF(AND($C13&lt;$D$1,$D$1&lt;=$C14,$D$4&lt;$E$1,$E$1&lt;=$D$5),1,0)</f>
        <v>5</v>
      </c>
      <c r="L12" s="1">
        <f ca="1">L12+IF(AND($C13&lt;$D$1,$D$1&lt;=$C14,$D$5&lt;$E$1,$E$1&lt;=$D$6),1,0)</f>
        <v>3</v>
      </c>
      <c r="M12" s="1">
        <f ca="1">M12+IF(AND($C13&lt;$D$1,$D$1&lt;=$C14,$D$6&lt;$E$1,$E$1&lt;=$D$7),1,0)</f>
        <v>1</v>
      </c>
      <c r="N12" s="1">
        <v>15</v>
      </c>
    </row>
    <row r="13" spans="1:14" x14ac:dyDescent="0.35">
      <c r="A13">
        <v>5.82</v>
      </c>
      <c r="B13">
        <v>28.7</v>
      </c>
      <c r="D13">
        <f>ROUND(D12,0)</f>
        <v>18</v>
      </c>
      <c r="E13">
        <f t="shared" si="1"/>
        <v>27</v>
      </c>
      <c r="H13" s="1">
        <v>11.55</v>
      </c>
      <c r="I13" s="1">
        <f ca="1">I13+IF(AND($C14&lt;$D$1,$D$1&lt;=$C15,$E$1&lt;=$D$3),1,0)</f>
        <v>1</v>
      </c>
      <c r="J13" s="1">
        <f ca="1">J13+IF(AND($C14&lt;$D$1,$D$1&lt;=$C15,$D$3&lt;$E$1,$E$1&lt;=$D$4),1,0)</f>
        <v>4</v>
      </c>
      <c r="K13" s="1">
        <f ca="1">K13+IF(AND($C14&lt;$D$1,$D$1&lt;=$C15,$D$4&lt;$E$1,$E$1&lt;=$D$5),1,0)</f>
        <v>6</v>
      </c>
      <c r="L13" s="1">
        <f ca="1">L13+IF(AND($C14&lt;$D$1,$D$1&lt;=$C15,$D$5&lt;$E$1,$E$1&lt;=$D$6),1,0)</f>
        <v>2</v>
      </c>
      <c r="M13" s="1">
        <f ca="1">M13+IF(AND($C14&lt;$D$1,$D$1&lt;=$C15,$D$6&lt;$E$1,$E$1&lt;=$D$7),1,0)</f>
        <v>1</v>
      </c>
      <c r="N13" s="1">
        <v>13</v>
      </c>
    </row>
    <row r="14" spans="1:14" x14ac:dyDescent="0.35">
      <c r="A14">
        <v>8.89</v>
      </c>
      <c r="B14">
        <v>25.9</v>
      </c>
      <c r="D14">
        <f>D13+5*D11</f>
        <v>33</v>
      </c>
      <c r="E14">
        <f t="shared" si="1"/>
        <v>30</v>
      </c>
      <c r="H14" s="1">
        <v>13.25</v>
      </c>
      <c r="I14" s="1">
        <f ca="1">I14+IF(AND($C15&lt;$D$1,$D$1&lt;=$C16,$E$1&lt;=$D$3),1,0)</f>
        <v>2</v>
      </c>
      <c r="J14" s="1">
        <f ca="1">J14+IF(AND($C15&lt;$D$1,$D$1&lt;=$C16,$D$3&lt;$E$1,$E$1&lt;=$D$4),1,0)</f>
        <v>1</v>
      </c>
      <c r="K14" s="1">
        <f ca="1">K14+IF(AND($C15&lt;$D$1,$D$1&lt;=$C16,$D$4&lt;$E$1,$E$1&lt;=$D$5),1,0)</f>
        <v>2</v>
      </c>
      <c r="L14" s="1">
        <f ca="1">L14+IF(AND($C15&lt;$D$1,$D$1&lt;=$C16,$D$5&lt;$E$1,$E$1&lt;=$D$6),1,0)</f>
        <v>0</v>
      </c>
      <c r="M14" s="1">
        <f ca="1">M14+IF(AND($C15&lt;$D$1,$D$1&lt;=$C16,$D$6&lt;$E$1,$E$1&lt;=$D$7),1,0)</f>
        <v>0</v>
      </c>
      <c r="N14" s="1">
        <v>5</v>
      </c>
    </row>
    <row r="15" spans="1:14" x14ac:dyDescent="0.35">
      <c r="A15">
        <v>9.32</v>
      </c>
      <c r="B15">
        <v>29.1</v>
      </c>
      <c r="E15">
        <f t="shared" si="1"/>
        <v>33</v>
      </c>
      <c r="H15" s="1">
        <v>14.95</v>
      </c>
      <c r="I15" s="1">
        <f t="shared" ref="I15" ca="1" si="2">I15+IF(AND($C16&lt;$D$1,$D$1&lt;=$C17,$E$1&lt;=$D$3),1,0)</f>
        <v>0</v>
      </c>
      <c r="J15" s="1">
        <f ca="1">J15+IF(AND($C16&lt;$D$1,$D$1&lt;=$C17,$D$3&lt;$E$1,$E$1&lt;=$D$4),1,0)</f>
        <v>1</v>
      </c>
      <c r="K15" s="1">
        <f ca="1">K15+IF(AND($C16&lt;$D$1,$D$1&lt;=$C17,$D$4&lt;$E$1,$E$1&lt;=$D$5),1,0)</f>
        <v>1</v>
      </c>
      <c r="L15" s="1">
        <f ca="1">L15+IF(AND($C16&lt;$D$1,$D$1&lt;=$C17,$D$5&lt;$E$1,$E$1&lt;=$D$6),1,0)</f>
        <v>0</v>
      </c>
      <c r="M15" s="1">
        <f ca="1">M15+IF(AND($C16&lt;$D$1,$D$1&lt;=$C17,$D$6&lt;$E$1,$E$1&lt;=$D$7),1,0)</f>
        <v>0</v>
      </c>
      <c r="N15" s="1">
        <v>3</v>
      </c>
    </row>
    <row r="16" spans="1:14" x14ac:dyDescent="0.35">
      <c r="A16">
        <v>8.3000000000000007</v>
      </c>
      <c r="B16">
        <v>25.2</v>
      </c>
      <c r="H16" s="1" t="s">
        <v>1</v>
      </c>
      <c r="I16" s="1">
        <v>4</v>
      </c>
      <c r="J16" s="1">
        <v>15</v>
      </c>
      <c r="K16" s="1">
        <v>19</v>
      </c>
      <c r="L16" s="1">
        <v>8</v>
      </c>
      <c r="M16" s="1">
        <v>4</v>
      </c>
      <c r="N16" s="1">
        <v>50</v>
      </c>
    </row>
    <row r="17" spans="1:2" x14ac:dyDescent="0.35">
      <c r="A17">
        <v>8.76</v>
      </c>
      <c r="B17">
        <v>24.6</v>
      </c>
    </row>
    <row r="18" spans="1:2" x14ac:dyDescent="0.35">
      <c r="A18">
        <v>8.01</v>
      </c>
      <c r="B18">
        <v>31.3</v>
      </c>
    </row>
    <row r="19" spans="1:2" x14ac:dyDescent="0.35">
      <c r="A19">
        <v>15.5</v>
      </c>
      <c r="B19">
        <v>24.3</v>
      </c>
    </row>
    <row r="20" spans="1:2" x14ac:dyDescent="0.35">
      <c r="A20">
        <v>12.3</v>
      </c>
      <c r="B20">
        <v>32.4</v>
      </c>
    </row>
    <row r="21" spans="1:2" x14ac:dyDescent="0.35">
      <c r="A21">
        <v>9.4600000000000009</v>
      </c>
      <c r="B21">
        <v>22</v>
      </c>
    </row>
    <row r="22" spans="1:2" x14ac:dyDescent="0.35">
      <c r="A22">
        <v>9.11</v>
      </c>
      <c r="B22">
        <v>28.6</v>
      </c>
    </row>
    <row r="23" spans="1:2" x14ac:dyDescent="0.35">
      <c r="A23">
        <v>12.1</v>
      </c>
      <c r="B23">
        <v>23.8</v>
      </c>
    </row>
    <row r="24" spans="1:2" x14ac:dyDescent="0.35">
      <c r="A24">
        <v>12.5</v>
      </c>
      <c r="B24">
        <v>20.5</v>
      </c>
    </row>
    <row r="25" spans="1:2" x14ac:dyDescent="0.35">
      <c r="A25">
        <v>9.33</v>
      </c>
      <c r="B25">
        <v>21.5</v>
      </c>
    </row>
    <row r="26" spans="1:2" x14ac:dyDescent="0.35">
      <c r="A26">
        <v>11</v>
      </c>
      <c r="B26">
        <v>25.6</v>
      </c>
    </row>
    <row r="27" spans="1:2" x14ac:dyDescent="0.35">
      <c r="A27">
        <v>10.1</v>
      </c>
      <c r="B27">
        <v>21.9</v>
      </c>
    </row>
    <row r="28" spans="1:2" x14ac:dyDescent="0.35">
      <c r="A28">
        <v>9.61</v>
      </c>
      <c r="B28">
        <v>25.4</v>
      </c>
    </row>
    <row r="29" spans="1:2" x14ac:dyDescent="0.35">
      <c r="A29">
        <v>13.7</v>
      </c>
      <c r="B29">
        <v>20.8</v>
      </c>
    </row>
    <row r="30" spans="1:2" x14ac:dyDescent="0.35">
      <c r="A30">
        <v>15</v>
      </c>
      <c r="B30">
        <v>23.9</v>
      </c>
    </row>
    <row r="31" spans="1:2" x14ac:dyDescent="0.35">
      <c r="A31">
        <v>12.2</v>
      </c>
      <c r="B31">
        <v>26.4</v>
      </c>
    </row>
    <row r="32" spans="1:2" x14ac:dyDescent="0.35">
      <c r="A32">
        <v>13.1</v>
      </c>
      <c r="B32">
        <v>26.7</v>
      </c>
    </row>
    <row r="33" spans="1:2" x14ac:dyDescent="0.35">
      <c r="A33">
        <v>11.7</v>
      </c>
      <c r="B33">
        <v>22.8</v>
      </c>
    </row>
    <row r="34" spans="1:2" x14ac:dyDescent="0.35">
      <c r="A34">
        <v>10.4</v>
      </c>
      <c r="B34">
        <v>26.5</v>
      </c>
    </row>
    <row r="35" spans="1:2" x14ac:dyDescent="0.35">
      <c r="A35">
        <v>11.5</v>
      </c>
      <c r="B35">
        <v>22.3</v>
      </c>
    </row>
    <row r="36" spans="1:2" x14ac:dyDescent="0.35">
      <c r="A36">
        <v>9.02</v>
      </c>
      <c r="B36">
        <v>18.100000000000001</v>
      </c>
    </row>
    <row r="37" spans="1:2" x14ac:dyDescent="0.35">
      <c r="A37">
        <v>9.23</v>
      </c>
      <c r="B37">
        <v>20.2</v>
      </c>
    </row>
    <row r="38" spans="1:2" x14ac:dyDescent="0.35">
      <c r="A38">
        <v>7.16</v>
      </c>
      <c r="B38">
        <v>25.3</v>
      </c>
    </row>
    <row r="39" spans="1:2" x14ac:dyDescent="0.35">
      <c r="A39">
        <v>12</v>
      </c>
      <c r="B39">
        <v>21.3</v>
      </c>
    </row>
    <row r="40" spans="1:2" x14ac:dyDescent="0.35">
      <c r="A40">
        <v>10.6</v>
      </c>
      <c r="B40">
        <v>26.5</v>
      </c>
    </row>
    <row r="41" spans="1:2" x14ac:dyDescent="0.35">
      <c r="A41">
        <v>6.39</v>
      </c>
      <c r="B41">
        <v>19.2</v>
      </c>
    </row>
    <row r="42" spans="1:2" x14ac:dyDescent="0.35">
      <c r="A42">
        <v>6.97</v>
      </c>
      <c r="B42">
        <v>21.5</v>
      </c>
    </row>
    <row r="43" spans="1:2" x14ac:dyDescent="0.35">
      <c r="A43">
        <v>9.0299999999999994</v>
      </c>
      <c r="B43">
        <v>26.3</v>
      </c>
    </row>
    <row r="44" spans="1:2" x14ac:dyDescent="0.35">
      <c r="A44">
        <v>6.84</v>
      </c>
      <c r="B44">
        <v>21.1</v>
      </c>
    </row>
    <row r="45" spans="1:2" x14ac:dyDescent="0.35">
      <c r="A45">
        <v>8.2899999999999991</v>
      </c>
      <c r="B45">
        <v>27.3</v>
      </c>
    </row>
    <row r="46" spans="1:2" x14ac:dyDescent="0.35">
      <c r="A46">
        <v>10.5</v>
      </c>
      <c r="B46">
        <v>31.8</v>
      </c>
    </row>
    <row r="47" spans="1:2" x14ac:dyDescent="0.35">
      <c r="A47">
        <v>11.7</v>
      </c>
      <c r="B47">
        <v>26.4</v>
      </c>
    </row>
    <row r="48" spans="1:2" x14ac:dyDescent="0.35">
      <c r="A48">
        <v>7.05</v>
      </c>
      <c r="B48">
        <v>21.7</v>
      </c>
    </row>
    <row r="49" spans="1:2" x14ac:dyDescent="0.35">
      <c r="A49">
        <v>12.1</v>
      </c>
      <c r="B49">
        <v>27.1</v>
      </c>
    </row>
    <row r="50" spans="1:2" x14ac:dyDescent="0.35">
      <c r="A50">
        <v>9.51</v>
      </c>
      <c r="B50">
        <v>21.8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Смирнов</dc:creator>
  <cp:lastModifiedBy>Артем Смирнов</cp:lastModifiedBy>
  <dcterms:created xsi:type="dcterms:W3CDTF">2025-04-02T11:39:13Z</dcterms:created>
  <dcterms:modified xsi:type="dcterms:W3CDTF">2025-05-27T23:07:29Z</dcterms:modified>
</cp:coreProperties>
</file>