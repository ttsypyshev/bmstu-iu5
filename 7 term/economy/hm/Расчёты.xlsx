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тевой график" sheetId="1" r:id="rId4"/>
    <sheet state="visible" name="Лист3" sheetId="2" r:id="rId5"/>
    <sheet state="visible" name="Издержки" sheetId="3" r:id="rId6"/>
  </sheets>
  <definedNames/>
  <calcPr/>
</workbook>
</file>

<file path=xl/sharedStrings.xml><?xml version="1.0" encoding="utf-8"?>
<sst xmlns="http://schemas.openxmlformats.org/spreadsheetml/2006/main" count="113" uniqueCount="95">
  <si>
    <t>№</t>
  </si>
  <si>
    <t>Связь (из → в)</t>
  </si>
  <si>
    <t>Этап / работа</t>
  </si>
  <si>
    <t>Продолжительность</t>
  </si>
  <si>
    <t>-</t>
  </si>
  <si>
    <t>Переговоры с клиентом</t>
  </si>
  <si>
    <t>Заключение договора</t>
  </si>
  <si>
    <t>Передача технической документации</t>
  </si>
  <si>
    <t>Разработка технического задания</t>
  </si>
  <si>
    <t>Разработка плана-графика производства</t>
  </si>
  <si>
    <t>Закупка комплектующих и оборудования</t>
  </si>
  <si>
    <t>Сборка и установка прототипа/объекта испытаний</t>
  </si>
  <si>
    <t>Проведение функциональных испытаний</t>
  </si>
  <si>
    <t>Корректировка по результатам испытаний</t>
  </si>
  <si>
    <t>Подготовка финального продукта к поставке</t>
  </si>
  <si>
    <t>Акт приёмки-передачи оборудования</t>
  </si>
  <si>
    <t>Инструктаж и передача документации клиенту</t>
  </si>
  <si>
    <t>Поддержка после внедрения</t>
  </si>
  <si>
    <t>Критический путь</t>
  </si>
  <si>
    <t>1-2-4-5-6-7-9-10-11-12-13</t>
  </si>
  <si>
    <t>Показатель</t>
  </si>
  <si>
    <t>Формула</t>
  </si>
  <si>
    <t>Q1 = 1500 шт.</t>
  </si>
  <si>
    <t>Q2 = 1800 шт.</t>
  </si>
  <si>
    <t>Q3 = 2200 шт.</t>
  </si>
  <si>
    <t>Q факт = 1384 шт.</t>
  </si>
  <si>
    <t>Выручка (руб.)</t>
  </si>
  <si>
    <t>$P \times Q$</t>
  </si>
  <si>
    <t>48 000 000</t>
  </si>
  <si>
    <t>57 600 000</t>
  </si>
  <si>
    <t>70 400 000</t>
  </si>
  <si>
    <t>44 288 000</t>
  </si>
  <si>
    <t>Переменные затраты (руб.)</t>
  </si>
  <si>
    <t>$\text{AVC} \times Q$</t>
  </si>
  <si>
    <t>31 500 000</t>
  </si>
  <si>
    <t>37 800 000</t>
  </si>
  <si>
    <t>46 200 000</t>
  </si>
  <si>
    <t>29 064 000</t>
  </si>
  <si>
    <t>Маржинальный доход (руб.)</t>
  </si>
  <si>
    <t>$\text{TR} - \text{TVC}$</t>
  </si>
  <si>
    <t>16 500 000</t>
  </si>
  <si>
    <t>19 800 000</t>
  </si>
  <si>
    <t>24 200 000</t>
  </si>
  <si>
    <t>15 224 000</t>
  </si>
  <si>
    <t>Постоянные затраты (руб.)</t>
  </si>
  <si>
    <t>$\text{FC}$</t>
  </si>
  <si>
    <t>15 000 000</t>
  </si>
  <si>
    <t>ПРИБЫЛЬ (руб.)</t>
  </si>
  <si>
    <t>$\text{MD} - \text{FC}$</t>
  </si>
  <si>
    <t>1 500 000</t>
  </si>
  <si>
    <t>4 800 000</t>
  </si>
  <si>
    <t>9 200 000</t>
  </si>
  <si>
    <t>224 000</t>
  </si>
  <si>
    <t>Средняя вел-на МД (руб./шт.)</t>
  </si>
  <si>
    <t>$\text{MD} / Q$</t>
  </si>
  <si>
    <t>11 000</t>
  </si>
  <si>
    <t>Точка безубыточности (шт.)</t>
  </si>
  <si>
    <t>$\text{FC} / (P - \text{AVC})$</t>
  </si>
  <si>
    <t>1 363,64</t>
  </si>
  <si>
    <t>P</t>
  </si>
  <si>
    <t>руб./шт.</t>
  </si>
  <si>
    <t>**Задача 1 (адаптированная):**</t>
  </si>
  <si>
    <t>AVC</t>
  </si>
  <si>
    <t>платы, модемы, корпуса, антенны, сборка, упаковка, логистика</t>
  </si>
  <si>
    <t>FC</t>
  </si>
  <si>
    <t>руб./год</t>
  </si>
  <si>
    <t>аренда, зарплаты, амортизация, лицензии, страховки, налоги</t>
  </si>
  <si>
    <t>Предприятие выпускает и реализует **Multisim роутеры с удалённым управлением для бизнеса**. Средние переменные затраты на производство и сбыт одного роутера составляют **21 000 руб.**, а средняя цена реализации — **32 000 руб.** за один роутер. Постоянные затраты предприятия составляют **15 млн. руб. в год**.</t>
  </si>
  <si>
    <t>Q</t>
  </si>
  <si>
    <t>шт.</t>
  </si>
  <si>
    <t>Определить:</t>
  </si>
  <si>
    <t>1. Годовую прибыль предприятия, если оно реализует роутеры в объёме **1 500**, **1 800** и **2 200** штук.</t>
  </si>
  <si>
    <t>Q1</t>
  </si>
  <si>
    <t>Q2</t>
  </si>
  <si>
    <t>Q3</t>
  </si>
  <si>
    <t>2. Среднюю величину маржинального дохода.</t>
  </si>
  <si>
    <t>1.</t>
  </si>
  <si>
    <t>Прибыль =</t>
  </si>
  <si>
    <t>(P - AVC) * Q - FC</t>
  </si>
  <si>
    <t>=</t>
  </si>
  <si>
    <t>3. Порог рентабельности (точку безубыточности) в штуках и рублях.</t>
  </si>
  <si>
    <t>2.</t>
  </si>
  <si>
    <t>Выручка=</t>
  </si>
  <si>
    <t xml:space="preserve">P * Q </t>
  </si>
  <si>
    <t>Переменные затраты=</t>
  </si>
  <si>
    <t>AVC * Q</t>
  </si>
  <si>
    <t>Маржинальный доход=</t>
  </si>
  <si>
    <t>P * Q - AVC * Q</t>
  </si>
  <si>
    <t>маржа - пост. Затраты</t>
  </si>
  <si>
    <t xml:space="preserve">3. </t>
  </si>
  <si>
    <t>Средняя вел-на МД=</t>
  </si>
  <si>
    <t>МД/Q</t>
  </si>
  <si>
    <t xml:space="preserve">4. </t>
  </si>
  <si>
    <t>Точка безубыточности=</t>
  </si>
  <si>
    <t>FC / (P - AVC)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</si>
</sst>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Google Sans Text"/>
    </font>
    <font>
      <color theme="1"/>
      <name val="Google Sans Text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2" numFmtId="164" xfId="0" applyAlignment="1" applyBorder="1" applyFont="1" applyNumberForma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8" numFmtId="49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200025</xdr:rowOff>
    </xdr:from>
    <xdr:ext cx="7772400" cy="25908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3.38"/>
    <col customWidth="1" min="3" max="3" width="41.0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</row>
    <row r="2">
      <c r="A2" s="4">
        <v>1.0</v>
      </c>
      <c r="B2" s="4" t="s">
        <v>4</v>
      </c>
      <c r="C2" s="5"/>
      <c r="D2" s="4">
        <v>0.0</v>
      </c>
      <c r="E2" s="6"/>
    </row>
    <row r="3">
      <c r="A3" s="4">
        <v>1.0</v>
      </c>
      <c r="B3" s="7">
        <v>45689.0</v>
      </c>
      <c r="C3" s="4" t="s">
        <v>5</v>
      </c>
      <c r="D3" s="4">
        <v>2.0</v>
      </c>
      <c r="E3" s="6"/>
    </row>
    <row r="4">
      <c r="A4" s="4">
        <v>2.0</v>
      </c>
      <c r="B4" s="7">
        <v>45718.0</v>
      </c>
      <c r="C4" s="4" t="s">
        <v>6</v>
      </c>
      <c r="D4" s="4">
        <v>1.0</v>
      </c>
      <c r="E4" s="6"/>
    </row>
    <row r="5">
      <c r="A5" s="4">
        <v>3.0</v>
      </c>
      <c r="B5" s="7">
        <v>45749.0</v>
      </c>
      <c r="C5" s="4" t="s">
        <v>7</v>
      </c>
      <c r="D5" s="4">
        <v>1.0</v>
      </c>
      <c r="E5" s="6"/>
    </row>
    <row r="6">
      <c r="A6" s="4">
        <v>4.0</v>
      </c>
      <c r="B6" s="7">
        <v>45872.0</v>
      </c>
      <c r="C6" s="4" t="s">
        <v>8</v>
      </c>
      <c r="D6" s="4">
        <v>3.0</v>
      </c>
      <c r="E6" s="6"/>
    </row>
    <row r="7">
      <c r="A7" s="4">
        <v>5.0</v>
      </c>
      <c r="B7" s="7">
        <v>45908.0</v>
      </c>
      <c r="C7" s="4" t="s">
        <v>9</v>
      </c>
      <c r="D7" s="4">
        <v>2.0</v>
      </c>
      <c r="E7" s="6"/>
    </row>
    <row r="8">
      <c r="A8" s="4">
        <v>6.0</v>
      </c>
      <c r="B8" s="7">
        <v>45781.0</v>
      </c>
      <c r="C8" s="4" t="s">
        <v>10</v>
      </c>
      <c r="D8" s="4">
        <v>4.0</v>
      </c>
      <c r="E8" s="6"/>
    </row>
    <row r="9">
      <c r="A9" s="4">
        <v>7.0</v>
      </c>
      <c r="B9" s="7">
        <v>45813.0</v>
      </c>
      <c r="C9" s="4" t="s">
        <v>11</v>
      </c>
      <c r="D9" s="4">
        <v>5.0</v>
      </c>
      <c r="E9" s="6"/>
    </row>
    <row r="10">
      <c r="A10" s="4">
        <v>8.0</v>
      </c>
      <c r="B10" s="7">
        <v>45844.0</v>
      </c>
      <c r="C10" s="4" t="s">
        <v>12</v>
      </c>
      <c r="D10" s="4">
        <v>3.0</v>
      </c>
      <c r="E10" s="6"/>
    </row>
    <row r="11">
      <c r="A11" s="4">
        <v>9.0</v>
      </c>
      <c r="B11" s="7">
        <v>45907.0</v>
      </c>
      <c r="C11" s="4" t="s">
        <v>13</v>
      </c>
      <c r="D11" s="4">
        <v>2.0</v>
      </c>
      <c r="E11" s="6"/>
    </row>
    <row r="12">
      <c r="A12" s="4">
        <v>10.0</v>
      </c>
      <c r="B12" s="7">
        <v>45939.0</v>
      </c>
      <c r="C12" s="4" t="s">
        <v>14</v>
      </c>
      <c r="D12" s="4">
        <v>2.0</v>
      </c>
      <c r="E12" s="6"/>
    </row>
    <row r="13">
      <c r="A13" s="4">
        <v>11.0</v>
      </c>
      <c r="B13" s="7">
        <v>45971.0</v>
      </c>
      <c r="C13" s="4" t="s">
        <v>15</v>
      </c>
      <c r="D13" s="4">
        <v>1.0</v>
      </c>
      <c r="E13" s="6"/>
    </row>
    <row r="14">
      <c r="A14" s="4">
        <v>12.0</v>
      </c>
      <c r="B14" s="7">
        <v>46002.0</v>
      </c>
      <c r="C14" s="4" t="s">
        <v>16</v>
      </c>
      <c r="D14" s="4">
        <v>1.0</v>
      </c>
      <c r="E14" s="6"/>
    </row>
    <row r="15">
      <c r="A15" s="4">
        <v>13.0</v>
      </c>
      <c r="B15" s="4">
        <v>12.0</v>
      </c>
      <c r="C15" s="4" t="s">
        <v>17</v>
      </c>
      <c r="D15" s="4">
        <v>4.0</v>
      </c>
      <c r="E15" s="6"/>
    </row>
    <row r="16">
      <c r="A16" s="8"/>
    </row>
    <row r="18">
      <c r="A18" s="3" t="s">
        <v>18</v>
      </c>
      <c r="C18" s="9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2.63"/>
    <col customWidth="1" min="3" max="3" width="11.5"/>
    <col customWidth="1" min="4" max="4" width="11.63"/>
    <col customWidth="1" min="5" max="5" width="11.75"/>
    <col customWidth="1" min="6" max="6" width="14.5"/>
  </cols>
  <sheetData>
    <row r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</row>
    <row r="2">
      <c r="A2" s="10" t="s">
        <v>26</v>
      </c>
      <c r="B2" s="11" t="s">
        <v>27</v>
      </c>
      <c r="C2" s="11" t="s">
        <v>28</v>
      </c>
      <c r="D2" s="11" t="s">
        <v>29</v>
      </c>
      <c r="E2" s="11" t="s">
        <v>30</v>
      </c>
      <c r="F2" s="10" t="s">
        <v>31</v>
      </c>
    </row>
    <row r="3">
      <c r="A3" s="10" t="s">
        <v>32</v>
      </c>
      <c r="B3" s="11" t="s">
        <v>33</v>
      </c>
      <c r="C3" s="11" t="s">
        <v>34</v>
      </c>
      <c r="D3" s="11" t="s">
        <v>35</v>
      </c>
      <c r="E3" s="11" t="s">
        <v>36</v>
      </c>
      <c r="F3" s="10" t="s">
        <v>37</v>
      </c>
    </row>
    <row r="4">
      <c r="A4" s="10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0" t="s">
        <v>43</v>
      </c>
    </row>
    <row r="5">
      <c r="A5" s="10" t="s">
        <v>44</v>
      </c>
      <c r="B5" s="11" t="s">
        <v>45</v>
      </c>
      <c r="C5" s="11" t="s">
        <v>46</v>
      </c>
      <c r="D5" s="11" t="s">
        <v>46</v>
      </c>
      <c r="E5" s="11" t="s">
        <v>46</v>
      </c>
      <c r="F5" s="10" t="s">
        <v>46</v>
      </c>
    </row>
    <row r="6">
      <c r="A6" s="10" t="s">
        <v>47</v>
      </c>
      <c r="B6" s="11" t="s">
        <v>48</v>
      </c>
      <c r="C6" s="10" t="s">
        <v>49</v>
      </c>
      <c r="D6" s="10" t="s">
        <v>50</v>
      </c>
      <c r="E6" s="10" t="s">
        <v>51</v>
      </c>
      <c r="F6" s="10" t="s">
        <v>52</v>
      </c>
    </row>
    <row r="7">
      <c r="A7" s="10" t="s">
        <v>53</v>
      </c>
      <c r="B7" s="11" t="s">
        <v>54</v>
      </c>
      <c r="C7" s="11" t="s">
        <v>55</v>
      </c>
      <c r="D7" s="11" t="s">
        <v>55</v>
      </c>
      <c r="E7" s="11" t="s">
        <v>55</v>
      </c>
      <c r="F7" s="11" t="s">
        <v>55</v>
      </c>
    </row>
    <row r="8">
      <c r="A8" s="10" t="s">
        <v>56</v>
      </c>
      <c r="B8" s="11" t="s">
        <v>57</v>
      </c>
      <c r="C8" s="11" t="s">
        <v>58</v>
      </c>
      <c r="D8" s="11" t="s">
        <v>58</v>
      </c>
      <c r="E8" s="11" t="s">
        <v>58</v>
      </c>
      <c r="F8" s="11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1.25"/>
    <col customWidth="1" min="3" max="3" width="20.0"/>
    <col customWidth="1" min="4" max="4" width="2.13"/>
    <col customWidth="1" min="5" max="7" width="11.75"/>
  </cols>
  <sheetData>
    <row r="1">
      <c r="A1" s="12" t="s">
        <v>59</v>
      </c>
      <c r="B1" s="13">
        <v>32000.0</v>
      </c>
      <c r="C1" s="14" t="s">
        <v>60</v>
      </c>
      <c r="D1" s="15"/>
      <c r="E1" s="15"/>
      <c r="F1" s="15"/>
      <c r="G1" s="15"/>
      <c r="J1" s="9" t="s">
        <v>61</v>
      </c>
    </row>
    <row r="2">
      <c r="A2" s="12" t="s">
        <v>62</v>
      </c>
      <c r="B2" s="13">
        <v>21000.0</v>
      </c>
      <c r="C2" s="14" t="s">
        <v>60</v>
      </c>
      <c r="D2" s="9" t="s">
        <v>63</v>
      </c>
      <c r="F2" s="15"/>
      <c r="G2" s="15"/>
    </row>
    <row r="3">
      <c r="A3" s="12" t="s">
        <v>64</v>
      </c>
      <c r="B3" s="13">
        <v>1.5E7</v>
      </c>
      <c r="C3" s="14" t="s">
        <v>65</v>
      </c>
      <c r="D3" s="9" t="s">
        <v>66</v>
      </c>
      <c r="E3" s="15"/>
      <c r="F3" s="15"/>
      <c r="G3" s="15"/>
      <c r="J3" s="9" t="s">
        <v>67</v>
      </c>
    </row>
    <row r="4">
      <c r="A4" s="12" t="s">
        <v>68</v>
      </c>
      <c r="C4" s="14" t="s">
        <v>69</v>
      </c>
      <c r="D4" s="15"/>
      <c r="E4" s="16">
        <v>1500.0</v>
      </c>
      <c r="F4" s="16">
        <v>1800.0</v>
      </c>
      <c r="G4" s="16">
        <v>2200.0</v>
      </c>
      <c r="H4" s="9">
        <v>1384.0</v>
      </c>
    </row>
    <row r="5">
      <c r="A5" s="15"/>
      <c r="B5" s="15"/>
      <c r="C5" s="15"/>
      <c r="D5" s="15"/>
      <c r="E5" s="15"/>
      <c r="F5" s="15"/>
      <c r="G5" s="15"/>
      <c r="J5" s="9" t="s">
        <v>70</v>
      </c>
    </row>
    <row r="6">
      <c r="A6" s="15"/>
      <c r="B6" s="15"/>
      <c r="C6" s="15"/>
      <c r="D6" s="15"/>
      <c r="E6" s="15"/>
      <c r="F6" s="15"/>
      <c r="G6" s="15"/>
    </row>
    <row r="7">
      <c r="A7" s="15"/>
      <c r="B7" s="15"/>
      <c r="C7" s="15"/>
      <c r="D7" s="15"/>
      <c r="E7" s="15"/>
      <c r="F7" s="15"/>
      <c r="G7" s="15"/>
      <c r="J7" s="9" t="s">
        <v>71</v>
      </c>
    </row>
    <row r="8">
      <c r="A8" s="15"/>
      <c r="B8" s="15"/>
      <c r="C8" s="15"/>
      <c r="D8" s="15"/>
      <c r="E8" s="15" t="s">
        <v>72</v>
      </c>
      <c r="F8" s="15" t="s">
        <v>73</v>
      </c>
      <c r="G8" s="15" t="s">
        <v>74</v>
      </c>
      <c r="H8" s="9" t="s">
        <v>68</v>
      </c>
      <c r="J8" s="9" t="s">
        <v>75</v>
      </c>
    </row>
    <row r="9">
      <c r="A9" s="15" t="s">
        <v>76</v>
      </c>
      <c r="B9" s="15" t="s">
        <v>77</v>
      </c>
      <c r="C9" s="17" t="s">
        <v>78</v>
      </c>
      <c r="D9" s="15" t="s">
        <v>79</v>
      </c>
      <c r="E9" s="18">
        <f t="shared" ref="E9:H9" si="1">($B$1-$B$2)*E4-$B$3</f>
        <v>1500000</v>
      </c>
      <c r="F9" s="18">
        <f t="shared" si="1"/>
        <v>4800000</v>
      </c>
      <c r="G9" s="18">
        <f t="shared" si="1"/>
        <v>9200000</v>
      </c>
      <c r="H9" s="18">
        <f t="shared" si="1"/>
        <v>224000</v>
      </c>
      <c r="J9" s="9" t="s">
        <v>80</v>
      </c>
    </row>
    <row r="10">
      <c r="A10" s="15" t="s">
        <v>81</v>
      </c>
      <c r="B10" s="15" t="s">
        <v>82</v>
      </c>
      <c r="C10" s="17" t="s">
        <v>83</v>
      </c>
      <c r="D10" s="15" t="s">
        <v>79</v>
      </c>
      <c r="E10" s="18">
        <f t="shared" ref="E10:H10" si="2">$B$1*E4</f>
        <v>48000000</v>
      </c>
      <c r="F10" s="18">
        <f t="shared" si="2"/>
        <v>57600000</v>
      </c>
      <c r="G10" s="18">
        <f t="shared" si="2"/>
        <v>70400000</v>
      </c>
      <c r="H10" s="18">
        <f t="shared" si="2"/>
        <v>44288000</v>
      </c>
    </row>
    <row r="11">
      <c r="A11" s="15"/>
      <c r="B11" s="15" t="s">
        <v>84</v>
      </c>
      <c r="C11" s="17" t="s">
        <v>85</v>
      </c>
      <c r="D11" s="15" t="s">
        <v>79</v>
      </c>
      <c r="E11" s="18">
        <f t="shared" ref="E11:H11" si="3">$B$2*E4</f>
        <v>31500000</v>
      </c>
      <c r="F11" s="18">
        <f t="shared" si="3"/>
        <v>37800000</v>
      </c>
      <c r="G11" s="18">
        <f t="shared" si="3"/>
        <v>46200000</v>
      </c>
      <c r="H11" s="18">
        <f t="shared" si="3"/>
        <v>29064000</v>
      </c>
    </row>
    <row r="12">
      <c r="A12" s="15"/>
      <c r="B12" s="15" t="s">
        <v>86</v>
      </c>
      <c r="C12" s="17" t="s">
        <v>87</v>
      </c>
      <c r="D12" s="15" t="s">
        <v>79</v>
      </c>
      <c r="E12" s="18">
        <f t="shared" ref="E12:H12" si="4">E10-E11</f>
        <v>16500000</v>
      </c>
      <c r="F12" s="18">
        <f t="shared" si="4"/>
        <v>19800000</v>
      </c>
      <c r="G12" s="18">
        <f t="shared" si="4"/>
        <v>24200000</v>
      </c>
      <c r="H12" s="18">
        <f t="shared" si="4"/>
        <v>15224000</v>
      </c>
    </row>
    <row r="13">
      <c r="A13" s="15"/>
      <c r="B13" s="15" t="s">
        <v>77</v>
      </c>
      <c r="C13" s="15" t="s">
        <v>88</v>
      </c>
      <c r="D13" s="15" t="s">
        <v>79</v>
      </c>
      <c r="E13" s="18">
        <f t="shared" ref="E13:H13" si="5">E12-$B$3</f>
        <v>1500000</v>
      </c>
      <c r="F13" s="18">
        <f t="shared" si="5"/>
        <v>4800000</v>
      </c>
      <c r="G13" s="18">
        <f t="shared" si="5"/>
        <v>9200000</v>
      </c>
      <c r="H13" s="18">
        <f t="shared" si="5"/>
        <v>224000</v>
      </c>
    </row>
    <row r="14">
      <c r="A14" s="15" t="s">
        <v>89</v>
      </c>
      <c r="B14" s="15" t="s">
        <v>90</v>
      </c>
      <c r="C14" s="17" t="s">
        <v>91</v>
      </c>
      <c r="D14" s="15" t="s">
        <v>79</v>
      </c>
      <c r="E14" s="18">
        <f t="shared" ref="E14:H14" si="6">E12/E4</f>
        <v>11000</v>
      </c>
      <c r="F14" s="18">
        <f t="shared" si="6"/>
        <v>11000</v>
      </c>
      <c r="G14" s="18">
        <f t="shared" si="6"/>
        <v>11000</v>
      </c>
      <c r="H14" s="18">
        <f t="shared" si="6"/>
        <v>11000</v>
      </c>
    </row>
    <row r="15">
      <c r="A15" s="15" t="s">
        <v>92</v>
      </c>
      <c r="B15" s="15" t="s">
        <v>93</v>
      </c>
      <c r="C15" s="19" t="s">
        <v>94</v>
      </c>
      <c r="D15" s="15" t="s">
        <v>79</v>
      </c>
      <c r="E15" s="18">
        <f t="shared" ref="E15:H15" si="7">$B$3/E14</f>
        <v>1363.636364</v>
      </c>
      <c r="F15" s="18">
        <f t="shared" si="7"/>
        <v>1363.636364</v>
      </c>
      <c r="G15" s="18">
        <f t="shared" si="7"/>
        <v>1363.636364</v>
      </c>
      <c r="H15" s="18">
        <f t="shared" si="7"/>
        <v>1363.636364</v>
      </c>
    </row>
  </sheetData>
  <drawing r:id="rId1"/>
</worksheet>
</file>