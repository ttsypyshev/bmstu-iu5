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<sst xmlns="http://schemas.openxmlformats.org/spreadsheetml/2006/main" count="6" uniqueCount="6">
  <si>
    <t>A*(Остаток/Сумма)</t>
  </si>
  <si>
    <t>Sперв/Т</t>
  </si>
  <si>
    <t>Агод</t>
  </si>
  <si>
    <t>Агод*5</t>
  </si>
  <si>
    <t>Анак</t>
  </si>
  <si>
    <t>Sперв-Анак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</si>
</sst>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3535748.0</v>
      </c>
      <c r="B1" s="1">
        <v>5.0</v>
      </c>
      <c r="C1" s="1">
        <v>15.0</v>
      </c>
    </row>
    <row r="2">
      <c r="B2" s="1" t="s">
        <v>0</v>
      </c>
    </row>
    <row r="3">
      <c r="A3" s="1">
        <v>1.0</v>
      </c>
      <c r="B3" s="2">
        <f t="shared" ref="B3:B7" si="1">$A$1*(($B$1-A3+1)/15)</f>
        <v>1178582.667</v>
      </c>
      <c r="C3" s="2">
        <f>B3</f>
        <v>1178582.667</v>
      </c>
      <c r="D3" s="2">
        <f t="shared" ref="D3:D7" si="2">$A$1-C3</f>
        <v>2357165.333</v>
      </c>
    </row>
    <row r="4">
      <c r="A4" s="1">
        <v>2.0</v>
      </c>
      <c r="B4" s="2">
        <f t="shared" si="1"/>
        <v>942866.1333</v>
      </c>
      <c r="C4" s="2">
        <f t="shared" ref="C4:C7" si="3">C3+B4</f>
        <v>2121448.8</v>
      </c>
      <c r="D4" s="2">
        <f t="shared" si="2"/>
        <v>1414299.2</v>
      </c>
    </row>
    <row r="5">
      <c r="A5" s="3">
        <v>3.0</v>
      </c>
      <c r="B5" s="4">
        <f t="shared" si="1"/>
        <v>707149.6</v>
      </c>
      <c r="C5" s="4">
        <f t="shared" si="3"/>
        <v>2828598.4</v>
      </c>
      <c r="D5" s="4">
        <f t="shared" si="2"/>
        <v>707149.6</v>
      </c>
    </row>
    <row r="6">
      <c r="A6" s="1">
        <v>4.0</v>
      </c>
      <c r="B6" s="2">
        <f t="shared" si="1"/>
        <v>471433.0667</v>
      </c>
      <c r="C6" s="2">
        <f t="shared" si="3"/>
        <v>3300031.467</v>
      </c>
      <c r="D6" s="2">
        <f t="shared" si="2"/>
        <v>235716.5333</v>
      </c>
    </row>
    <row r="7">
      <c r="A7" s="1">
        <v>5.0</v>
      </c>
      <c r="B7" s="2">
        <f t="shared" si="1"/>
        <v>235716.5333</v>
      </c>
      <c r="C7" s="2">
        <f t="shared" si="3"/>
        <v>3535748</v>
      </c>
      <c r="D7" s="2">
        <f t="shared" si="2"/>
        <v>0</v>
      </c>
    </row>
    <row r="10">
      <c r="A10" s="1">
        <v>1500000.0</v>
      </c>
      <c r="B10" s="1">
        <v>7.0</v>
      </c>
      <c r="C10" s="1">
        <v>5.0</v>
      </c>
    </row>
    <row r="11">
      <c r="A11" s="2">
        <f>A10/B10</f>
        <v>214285.7143</v>
      </c>
      <c r="B11" s="1" t="s">
        <v>1</v>
      </c>
      <c r="C11" s="1" t="s">
        <v>2</v>
      </c>
    </row>
    <row r="12">
      <c r="A12" s="2">
        <f>A11*C10</f>
        <v>1071428.571</v>
      </c>
      <c r="B12" s="1" t="s">
        <v>3</v>
      </c>
      <c r="C12" s="1" t="s">
        <v>4</v>
      </c>
    </row>
    <row r="13">
      <c r="A13" s="2">
        <f>A10-A12</f>
        <v>428571.4286</v>
      </c>
      <c r="B13" s="1" t="s">
        <v>5</v>
      </c>
    </row>
  </sheetData>
  <drawing r:id="rId1"/>
</worksheet>
</file>